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w % Complete" sheetId="1" r:id="rId4"/>
    <sheet state="visible" name="Manual Chart" sheetId="2" r:id="rId5"/>
  </sheets>
  <definedNames/>
  <calcPr/>
  <extLst>
    <ext uri="GoogleSheetsCustomDataVersion2">
      <go:sheetsCustomData xmlns:go="http://customooxmlschemas.google.com/" r:id="rId6" roundtripDataChecksum="esjHO0MGy/KniFOLRUvWYDSsFHYb/Pj44dF1IqVeg9Q="/>
    </ext>
  </extLst>
</workbook>
</file>

<file path=xl/sharedStrings.xml><?xml version="1.0" encoding="utf-8"?>
<sst xmlns="http://schemas.openxmlformats.org/spreadsheetml/2006/main" count="125" uniqueCount="48">
  <si>
    <t>GANTT CHART TEMPLATE</t>
  </si>
  <si>
    <r>
      <rPr>
        <rFont val="arial,sans,sans-serif"/>
        <b/>
        <color theme="1"/>
        <sz val="11.0"/>
      </rPr>
      <t xml:space="preserve">To edit this chart, you must first make a copy. Go to </t>
    </r>
    <r>
      <rPr>
        <rFont val="arial,sans,sans-serif"/>
        <b/>
        <i/>
        <color theme="1"/>
        <sz val="11.0"/>
      </rPr>
      <t>File</t>
    </r>
    <r>
      <rPr>
        <rFont val="arial,sans,sans-serif"/>
        <b/>
        <color theme="1"/>
        <sz val="11.0"/>
      </rPr>
      <t xml:space="preserve">, the select </t>
    </r>
    <r>
      <rPr>
        <rFont val="arial,sans,sans-serif"/>
        <b/>
        <i/>
        <color theme="1"/>
        <sz val="11.0"/>
      </rPr>
      <t>Make a Copy</t>
    </r>
    <r>
      <rPr>
        <rFont val="arial,sans,sans-serif"/>
        <b/>
        <color theme="1"/>
        <sz val="11.0"/>
      </rPr>
      <t>.</t>
    </r>
  </si>
  <si>
    <t>* = an automatically calculated cell</t>
  </si>
  <si>
    <t>TASK NAME</t>
  </si>
  <si>
    <t>START DATE</t>
  </si>
  <si>
    <t>DAY OF MONTH*</t>
  </si>
  <si>
    <t>END DATE</t>
  </si>
  <si>
    <t>DURATION* (WORK DAYS)</t>
  </si>
  <si>
    <t>DAYS COMPLETE*</t>
  </si>
  <si>
    <t>DAYS REMAINING*</t>
  </si>
  <si>
    <t>TEAM MEMBER</t>
  </si>
  <si>
    <t>PERCENT COMPLETE</t>
  </si>
  <si>
    <t>SEMANA 1</t>
  </si>
  <si>
    <t>SEMANA 2</t>
  </si>
  <si>
    <t>SEMANA 3</t>
  </si>
  <si>
    <t>SEMANA 4</t>
  </si>
  <si>
    <t>Mes 1</t>
  </si>
  <si>
    <t>Análisis del problema</t>
  </si>
  <si>
    <t>Matías</t>
  </si>
  <si>
    <t>Diseño de la solución</t>
  </si>
  <si>
    <t>José</t>
  </si>
  <si>
    <t>Mes 2</t>
  </si>
  <si>
    <t>Programación del backend (API y lógica)</t>
  </si>
  <si>
    <t>Giuseppe</t>
  </si>
  <si>
    <t>Desarrollo del front end</t>
  </si>
  <si>
    <t>Mes 3</t>
  </si>
  <si>
    <t>Pruebas del sistema</t>
  </si>
  <si>
    <t>Validación del proyecto</t>
  </si>
  <si>
    <t>CARTA GANTT</t>
  </si>
  <si>
    <t>DURATION (WORK DAYS)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</si>
  <si>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</si>
  <si>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</si>
  <si>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</si>
  <si>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</si>
  <si>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</si>
  <si>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</si>
  <si>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</si>
  <si>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</si>
  <si>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</si>
  <si>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</si>
  <si>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</si>
  <si>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</si>
  <si>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</si>
  <si>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</si>
  <si>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</si>
  <si>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Th</t>
  </si>
  <si>
    <t>F</t>
  </si>
  <si>
    <t>Jose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</si>
</sst>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&quot;/&quot;d"/>
    <numFmt numFmtId="166" formatCode="m/d"/>
    <numFmt numFmtId="167" formatCode="D/M/YYYY"/>
  </numFmts>
  <fonts count="18">
    <font>
      <sz val="10.0"/>
      <color rgb="FF000000"/>
      <name val="Arial"/>
      <scheme val="minor"/>
    </font>
    <font>
      <color theme="1"/>
      <name val="Arial"/>
    </font>
    <font>
      <sz val="26.0"/>
      <color rgb="FF576C88"/>
      <name val="Calibri"/>
    </font>
    <font>
      <b/>
      <u/>
      <sz val="14.0"/>
      <color rgb="FF57BB8A"/>
      <name val="Calibri"/>
    </font>
    <font/>
    <font>
      <sz val="14.0"/>
      <color rgb="FF576C88"/>
      <name val="Calibri"/>
    </font>
    <font>
      <b/>
      <sz val="12.0"/>
      <color rgb="FF0B5394"/>
      <name val="Roboto"/>
    </font>
    <font>
      <sz val="12.0"/>
      <color rgb="FF0B5394"/>
      <name val="Roboto"/>
    </font>
    <font>
      <b/>
      <sz val="11.0"/>
      <color theme="1"/>
      <name val="Arial"/>
    </font>
    <font>
      <color rgb="FF576C88"/>
      <name val="Calibri"/>
    </font>
    <font>
      <b/>
      <sz val="10.0"/>
      <color rgb="FFFFFFFF"/>
      <name val="Calibri"/>
    </font>
    <font>
      <b/>
      <sz val="11.0"/>
      <color rgb="FF666666"/>
      <name val="Calibri"/>
    </font>
    <font>
      <b/>
      <sz val="12.0"/>
      <color rgb="FF000000"/>
      <name val="Calibri"/>
    </font>
    <font>
      <color theme="1"/>
      <name val="Calibri"/>
    </font>
    <font>
      <sz val="11.0"/>
      <color rgb="FF434343"/>
      <name val="Calibri"/>
    </font>
    <font>
      <sz val="11.0"/>
      <color rgb="FF000000"/>
      <name val="Calibri"/>
    </font>
    <font>
      <color rgb="FF4A86E8"/>
      <name val="Arial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ADEE"/>
        <bgColor rgb="FF00ADEE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7FD1CD"/>
        <bgColor rgb="FF7FD1CD"/>
      </patternFill>
    </fill>
    <fill>
      <patternFill patternType="solid">
        <fgColor rgb="FF57BB8A"/>
        <bgColor rgb="FF57BB8A"/>
      </patternFill>
    </fill>
    <fill>
      <patternFill patternType="solid">
        <fgColor rgb="FFDBF1E6"/>
        <bgColor rgb="FFDBF1E6"/>
      </patternFill>
    </fill>
    <fill>
      <patternFill patternType="solid">
        <fgColor rgb="FFE5F5ED"/>
        <bgColor rgb="FFE5F5ED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</fills>
  <borders count="12">
    <border/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B7B7B7"/>
      </right>
    </border>
    <border>
      <bottom style="thin">
        <color rgb="FFB7B7B7"/>
      </bottom>
    </border>
    <border>
      <bottom style="thin">
        <color rgb="FFCCCCCC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right style="hair">
        <color rgb="FFB7B7B7"/>
      </right>
      <bottom style="hair">
        <color rgb="FFB7B7B7"/>
      </bottom>
    </border>
    <border>
      <right style="thin">
        <color rgb="FFB7B7B7"/>
      </right>
      <bottom style="hair">
        <color rgb="FFB7B7B7"/>
      </bottom>
    </border>
    <border>
      <bottom style="hair">
        <color rgb="FFB7B7B7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1" fillId="2" fontId="2" numFmtId="0" xfId="0" applyBorder="1" applyFont="1"/>
    <xf borderId="1" fillId="2" fontId="3" numFmtId="0" xfId="0" applyAlignment="1" applyBorder="1" applyFont="1">
      <alignment vertical="center"/>
    </xf>
    <xf borderId="1" fillId="0" fontId="4" numFmtId="0" xfId="0" applyBorder="1" applyFont="1"/>
    <xf borderId="1" fillId="2" fontId="5" numFmtId="0" xfId="0" applyAlignment="1" applyBorder="1" applyFont="1">
      <alignment vertical="center"/>
    </xf>
    <xf borderId="1" fillId="2" fontId="6" numFmtId="0" xfId="0" applyBorder="1" applyFont="1"/>
    <xf borderId="1" fillId="2" fontId="7" numFmtId="0" xfId="0" applyAlignment="1" applyBorder="1" applyFont="1">
      <alignment shrinkToFit="0" wrapText="1"/>
    </xf>
    <xf borderId="1" fillId="2" fontId="1" numFmtId="0" xfId="0" applyBorder="1" applyFont="1"/>
    <xf borderId="0" fillId="2" fontId="8" numFmtId="0" xfId="0" applyFont="1"/>
    <xf borderId="0" fillId="2" fontId="9" numFmtId="0" xfId="0" applyAlignment="1" applyFont="1">
      <alignment horizontal="left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/>
    </xf>
    <xf borderId="0" fillId="3" fontId="10" numFmtId="0" xfId="0" applyAlignment="1" applyFill="1" applyFont="1">
      <alignment horizontal="center" shrinkToFit="0" vertical="center" wrapText="1"/>
    </xf>
    <xf borderId="0" fillId="4" fontId="11" numFmtId="0" xfId="0" applyAlignment="1" applyFill="1" applyFont="1">
      <alignment horizontal="center"/>
    </xf>
    <xf borderId="0" fillId="4" fontId="11" numFmtId="0" xfId="0" applyAlignment="1" applyFont="1">
      <alignment horizontal="center" readingOrder="0"/>
    </xf>
    <xf borderId="0" fillId="5" fontId="11" numFmtId="0" xfId="0" applyAlignment="1" applyFill="1" applyFont="1">
      <alignment horizontal="center" readingOrder="0"/>
    </xf>
    <xf borderId="0" fillId="5" fontId="12" numFmtId="0" xfId="0" applyAlignment="1" applyFont="1">
      <alignment readingOrder="0"/>
    </xf>
    <xf borderId="0" fillId="5" fontId="13" numFmtId="0" xfId="0" applyFont="1"/>
    <xf borderId="0" fillId="0" fontId="13" numFmtId="0" xfId="0" applyFont="1"/>
    <xf borderId="0" fillId="0" fontId="13" numFmtId="164" xfId="0" applyFont="1" applyNumberFormat="1"/>
    <xf borderId="0" fillId="0" fontId="13" numFmtId="3" xfId="0" applyFont="1" applyNumberFormat="1"/>
    <xf borderId="0" fillId="0" fontId="14" numFmtId="0" xfId="0" applyAlignment="1" applyFont="1">
      <alignment readingOrder="0" shrinkToFit="0" wrapText="1"/>
    </xf>
    <xf borderId="0" fillId="0" fontId="14" numFmtId="165" xfId="0" applyAlignment="1" applyFont="1" applyNumberFormat="1">
      <alignment horizontal="center" readingOrder="0" shrinkToFit="0" wrapText="1"/>
    </xf>
    <xf borderId="0" fillId="6" fontId="14" numFmtId="0" xfId="0" applyAlignment="1" applyFill="1" applyFont="1">
      <alignment horizontal="center" shrinkToFit="0" wrapText="1"/>
    </xf>
    <xf borderId="0" fillId="2" fontId="14" numFmtId="165" xfId="0" applyAlignment="1" applyFont="1" applyNumberFormat="1">
      <alignment horizontal="center" readingOrder="0" shrinkToFit="0" wrapText="1"/>
    </xf>
    <xf borderId="0" fillId="6" fontId="15" numFmtId="0" xfId="0" applyAlignment="1" applyFont="1">
      <alignment horizontal="center"/>
    </xf>
    <xf borderId="0" fillId="7" fontId="14" numFmtId="9" xfId="0" applyAlignment="1" applyFill="1" applyFont="1" applyNumberFormat="1">
      <alignment horizontal="center" shrinkToFit="0" wrapText="1"/>
    </xf>
    <xf borderId="0" fillId="2" fontId="14" numFmtId="166" xfId="0" applyAlignment="1" applyFont="1" applyNumberFormat="1">
      <alignment horizontal="center" readingOrder="0" shrinkToFit="0" wrapText="1"/>
    </xf>
    <xf borderId="0" fillId="8" fontId="14" numFmtId="9" xfId="0" applyAlignment="1" applyFill="1" applyFont="1" applyNumberFormat="1">
      <alignment horizontal="center" shrinkToFit="0" wrapText="1"/>
    </xf>
    <xf borderId="0" fillId="5" fontId="13" numFmtId="0" xfId="0" applyAlignment="1" applyFont="1">
      <alignment horizontal="center"/>
    </xf>
    <xf borderId="0" fillId="9" fontId="14" numFmtId="0" xfId="0" applyAlignment="1" applyFill="1" applyFont="1">
      <alignment horizontal="center" readingOrder="0" shrinkToFit="0" wrapText="1"/>
    </xf>
    <xf borderId="0" fillId="10" fontId="14" numFmtId="0" xfId="0" applyAlignment="1" applyFill="1" applyFont="1">
      <alignment horizontal="center" readingOrder="0" shrinkToFit="0" wrapText="1"/>
    </xf>
    <xf borderId="0" fillId="2" fontId="14" numFmtId="0" xfId="0" applyAlignment="1" applyFont="1">
      <alignment horizontal="center" readingOrder="0" shrinkToFit="0" wrapText="1"/>
    </xf>
    <xf borderId="2" fillId="2" fontId="1" numFmtId="0" xfId="0" applyBorder="1" applyFont="1"/>
    <xf borderId="3" fillId="2" fontId="2" numFmtId="0" xfId="0" applyAlignment="1" applyBorder="1" applyFont="1">
      <alignment readingOrder="0"/>
    </xf>
    <xf borderId="1" fillId="0" fontId="1" numFmtId="0" xfId="0" applyBorder="1" applyFont="1"/>
    <xf borderId="2" fillId="0" fontId="1" numFmtId="167" xfId="0" applyBorder="1" applyFont="1" applyNumberFormat="1"/>
    <xf borderId="4" fillId="3" fontId="10" numFmtId="0" xfId="0" applyAlignment="1" applyBorder="1" applyFont="1">
      <alignment horizontal="center" shrinkToFit="0" vertical="center" wrapText="1"/>
    </xf>
    <xf borderId="5" fillId="11" fontId="11" numFmtId="0" xfId="0" applyAlignment="1" applyBorder="1" applyFill="1" applyFont="1">
      <alignment horizontal="center"/>
    </xf>
    <xf borderId="5" fillId="0" fontId="4" numFmtId="0" xfId="0" applyBorder="1" applyFont="1"/>
    <xf borderId="5" fillId="4" fontId="11" numFmtId="0" xfId="0" applyAlignment="1" applyBorder="1" applyFont="1">
      <alignment horizontal="center"/>
    </xf>
    <xf borderId="4" fillId="0" fontId="4" numFmtId="0" xfId="0" applyBorder="1" applyFont="1"/>
    <xf borderId="4" fillId="11" fontId="11" numFmtId="0" xfId="0" applyAlignment="1" applyBorder="1" applyFont="1">
      <alignment horizontal="center"/>
    </xf>
    <xf borderId="4" fillId="4" fontId="11" numFmtId="0" xfId="0" applyAlignment="1" applyBorder="1" applyFont="1">
      <alignment horizontal="center"/>
    </xf>
    <xf borderId="6" fillId="5" fontId="12" numFmtId="0" xfId="0" applyAlignment="1" applyBorder="1" applyFont="1">
      <alignment readingOrder="0"/>
    </xf>
    <xf borderId="6" fillId="5" fontId="13" numFmtId="0" xfId="0" applyBorder="1" applyFont="1"/>
    <xf borderId="6" fillId="0" fontId="4" numFmtId="0" xfId="0" applyBorder="1" applyFont="1"/>
    <xf borderId="0" fillId="5" fontId="13" numFmtId="164" xfId="0" applyFont="1" applyNumberFormat="1"/>
    <xf borderId="0" fillId="5" fontId="13" numFmtId="3" xfId="0" applyFont="1" applyNumberFormat="1"/>
    <xf borderId="5" fillId="0" fontId="14" numFmtId="0" xfId="0" applyAlignment="1" applyBorder="1" applyFont="1">
      <alignment readingOrder="0" shrinkToFit="0" wrapText="1"/>
    </xf>
    <xf borderId="5" fillId="0" fontId="14" numFmtId="165" xfId="0" applyAlignment="1" applyBorder="1" applyFont="1" applyNumberFormat="1">
      <alignment horizontal="center" readingOrder="0" shrinkToFit="0" wrapText="1"/>
    </xf>
    <xf borderId="5" fillId="0" fontId="14" numFmtId="0" xfId="0" applyAlignment="1" applyBorder="1" applyFont="1">
      <alignment horizontal="center" shrinkToFit="0" wrapText="1"/>
    </xf>
    <xf borderId="7" fillId="7" fontId="14" numFmtId="9" xfId="0" applyAlignment="1" applyBorder="1" applyFont="1" applyNumberFormat="1">
      <alignment horizontal="center" shrinkToFit="0" wrapText="1"/>
    </xf>
    <xf borderId="8" fillId="12" fontId="1" numFmtId="9" xfId="0" applyAlignment="1" applyBorder="1" applyFill="1" applyFont="1" applyNumberFormat="1">
      <alignment vertical="bottom"/>
    </xf>
    <xf borderId="9" fillId="12" fontId="1" numFmtId="164" xfId="0" applyAlignment="1" applyBorder="1" applyFont="1" applyNumberFormat="1">
      <alignment vertical="bottom"/>
    </xf>
    <xf borderId="9" fillId="12" fontId="1" numFmtId="0" xfId="0" applyAlignment="1" applyBorder="1" applyFont="1">
      <alignment vertical="bottom"/>
    </xf>
    <xf borderId="9" fillId="11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10" fillId="11" fontId="1" numFmtId="0" xfId="0" applyAlignment="1" applyBorder="1" applyFont="1">
      <alignment vertical="bottom"/>
    </xf>
    <xf borderId="7" fillId="8" fontId="14" numFmtId="9" xfId="0" applyAlignment="1" applyBorder="1" applyFont="1" applyNumberFormat="1">
      <alignment horizontal="center" shrinkToFit="0" wrapText="1"/>
    </xf>
    <xf borderId="8" fillId="0" fontId="1" numFmtId="9" xfId="0" applyAlignment="1" applyBorder="1" applyFont="1" applyNumberFormat="1">
      <alignment vertical="bottom"/>
    </xf>
    <xf borderId="9" fillId="0" fontId="1" numFmtId="164" xfId="0" applyAlignment="1" applyBorder="1" applyFont="1" applyNumberFormat="1">
      <alignment vertical="bottom"/>
    </xf>
    <xf borderId="9" fillId="6" fontId="1" numFmtId="0" xfId="0" applyAlignment="1" applyBorder="1" applyFont="1">
      <alignment vertical="bottom"/>
    </xf>
    <xf borderId="6" fillId="5" fontId="13" numFmtId="0" xfId="0" applyAlignment="1" applyBorder="1" applyFont="1">
      <alignment horizontal="center"/>
    </xf>
    <xf borderId="0" fillId="5" fontId="1" numFmtId="0" xfId="0" applyAlignment="1" applyFont="1">
      <alignment vertical="bottom"/>
    </xf>
    <xf borderId="0" fillId="5" fontId="1" numFmtId="164" xfId="0" applyAlignment="1" applyFont="1" applyNumberFormat="1">
      <alignment vertical="bottom"/>
    </xf>
    <xf borderId="0" fillId="5" fontId="1" numFmtId="3" xfId="0" applyAlignment="1" applyFont="1" applyNumberFormat="1">
      <alignment vertical="bottom"/>
    </xf>
    <xf borderId="7" fillId="9" fontId="14" numFmtId="9" xfId="0" applyAlignment="1" applyBorder="1" applyFont="1" applyNumberFormat="1">
      <alignment horizontal="center" readingOrder="0" shrinkToFit="0" wrapText="1"/>
    </xf>
    <xf borderId="9" fillId="12" fontId="16" numFmtId="0" xfId="0" applyAlignment="1" applyBorder="1" applyFont="1">
      <alignment vertical="bottom"/>
    </xf>
    <xf borderId="7" fillId="10" fontId="14" numFmtId="9" xfId="0" applyAlignment="1" applyBorder="1" applyFont="1" applyNumberFormat="1">
      <alignment horizontal="center" readingOrder="0" shrinkToFit="0" wrapText="1"/>
    </xf>
    <xf borderId="11" fillId="5" fontId="1" numFmtId="0" xfId="0" applyAlignment="1" applyBorder="1" applyFont="1">
      <alignment vertical="bottom"/>
    </xf>
    <xf borderId="7" fillId="2" fontId="14" numFmtId="9" xfId="0" applyAlignment="1" applyBorder="1" applyFont="1" applyNumberFormat="1">
      <alignment horizontal="center" readingOrder="0" shrinkToFit="0" wrapText="1"/>
    </xf>
    <xf borderId="10" fillId="12" fontId="1" numFmtId="0" xfId="0" applyAlignment="1" applyBorder="1" applyFont="1">
      <alignment vertical="bottom"/>
    </xf>
    <xf borderId="2" fillId="0" fontId="1" numFmtId="0" xfId="0" applyBorder="1" applyFont="1"/>
    <xf borderId="2" fillId="0" fontId="1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000000">
                <a:alpha val="0"/>
              </a:srgbClr>
            </a:solidFill>
            <a:ln cmpd="sng">
              <a:noFill/>
            </a:ln>
          </c:spPr>
          <c:cat>
            <c:strRef>
              <c:f>'Gantt Chart w % Complete'!$B$10:$B$17</c:f>
            </c:strRef>
          </c:cat>
          <c:val>
            <c:numRef>
              <c:f>'Gantt Chart w % Complete'!$D$10:$D$17</c:f>
              <c:numCache/>
            </c:numRef>
          </c:val>
        </c:ser>
        <c:ser>
          <c:idx val="1"/>
          <c:order val="1"/>
          <c:spPr>
            <a:solidFill>
              <a:srgbClr val="5CBCD6"/>
            </a:solidFill>
            <a:ln cmpd="sng">
              <a:noFill/>
            </a:ln>
          </c:spPr>
          <c:cat>
            <c:strRef>
              <c:f>'Gantt Chart w % Complete'!$B$10:$B$17</c:f>
            </c:strRef>
          </c:cat>
          <c:val>
            <c:numRef>
              <c:f>'Gantt Chart w % Complete'!$G$10:$G$17</c:f>
              <c:numCache/>
            </c:numRef>
          </c:val>
        </c:ser>
        <c:ser>
          <c:idx val="2"/>
          <c:order val="2"/>
          <c:spPr>
            <a:solidFill>
              <a:srgbClr val="6AD9F8"/>
            </a:solidFill>
            <a:ln cmpd="sng">
              <a:noFill/>
            </a:ln>
          </c:spPr>
          <c:cat>
            <c:strRef>
              <c:f>'Gantt Chart w % Complete'!$B$10:$B$17</c:f>
            </c:strRef>
          </c:cat>
          <c:val>
            <c:numRef>
              <c:f>'Gantt Chart w % Complete'!$H$10:$H$17</c:f>
              <c:numCache/>
            </c:numRef>
          </c:val>
        </c:ser>
        <c:overlap val="100"/>
        <c:axId val="701574202"/>
        <c:axId val="1376226750"/>
      </c:barChart>
      <c:catAx>
        <c:axId val="7015742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376226750"/>
      </c:catAx>
      <c:valAx>
        <c:axId val="1376226750"/>
        <c:scaling>
          <c:orientation val="minMax"/>
          <c:max val="3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Days of the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701574202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7</xdr:row>
      <xdr:rowOff>0</xdr:rowOff>
    </xdr:from>
    <xdr:ext cx="8391525" cy="5191125"/>
    <xdr:graphicFrame>
      <xdr:nvGraphicFramePr>
        <xdr:cNvPr id="55247255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31.38"/>
    <col customWidth="1" min="3" max="9" width="10.75"/>
    <col customWidth="1" min="10" max="10" width="9.5"/>
    <col customWidth="1" min="11" max="12" width="6.38"/>
    <col customWidth="1" min="13" max="14" width="3.25"/>
    <col customWidth="1" min="15" max="15" width="5.63"/>
    <col customWidth="1" min="16" max="34" width="4.0"/>
    <col customWidth="1" min="35" max="36" width="6.38"/>
  </cols>
  <sheetData>
    <row r="1" ht="15.75" customHeight="1">
      <c r="A1" s="1" t="str">
        <f>IMAGE("https://www.teamgantt.com/blog/wp-content/uploads/2018/02/Template-CTA-Banner.png", 3)
</f>
        <v/>
      </c>
      <c r="B1" s="1"/>
      <c r="C1" s="1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2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15.75" customHeight="1">
      <c r="B2" s="1"/>
      <c r="C2" s="1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2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15.75" customHeight="1">
      <c r="A3" s="3" t="s">
        <v>0</v>
      </c>
      <c r="B3" s="3"/>
      <c r="C3" s="3"/>
      <c r="D3" s="3"/>
      <c r="E3" s="4" t="str">
        <f>HYPERLINK("https://www.teamgantt.com/signup?utm_source=google-sheets-gantt-template&amp;utm_medium=download&amp;utm_campaign=google-sheets-gantt-template","Build better gantt charts with TeamGantt for FREE!")</f>
        <v>Build better gantt charts with TeamGantt for FREE!</v>
      </c>
      <c r="F3" s="5"/>
      <c r="G3" s="5"/>
      <c r="H3" s="5"/>
      <c r="I3" s="5"/>
      <c r="J3" s="6"/>
      <c r="K3" s="6"/>
      <c r="L3" s="6"/>
      <c r="M3" s="7"/>
      <c r="N3" s="7"/>
      <c r="O3" s="7"/>
      <c r="P3" s="7"/>
      <c r="Q3" s="7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  <c r="AJ3" s="9"/>
    </row>
    <row r="4" ht="15.7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15.75" customHeight="1">
      <c r="A5" s="10" t="s">
        <v>1</v>
      </c>
      <c r="B5" s="1"/>
      <c r="C5" s="1"/>
      <c r="G5" s="1"/>
      <c r="J5" s="1"/>
      <c r="K5" s="1"/>
      <c r="L5" s="1"/>
      <c r="M5" s="1"/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15.75" customHeight="1">
      <c r="A6" s="11" t="s">
        <v>2</v>
      </c>
      <c r="B6" s="12"/>
      <c r="C6" s="12"/>
      <c r="D6" s="12"/>
      <c r="E6" s="12"/>
      <c r="F6" s="12"/>
      <c r="G6" s="12"/>
      <c r="H6" s="12"/>
      <c r="I6" s="12"/>
      <c r="J6" s="12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ht="15.75" customHeight="1">
      <c r="A7" s="14"/>
      <c r="B7" s="14" t="s">
        <v>3</v>
      </c>
      <c r="C7" s="14" t="s">
        <v>4</v>
      </c>
      <c r="D7" s="14" t="s">
        <v>5</v>
      </c>
      <c r="E7" s="14" t="s">
        <v>6</v>
      </c>
      <c r="F7" s="14" t="s">
        <v>7</v>
      </c>
      <c r="G7" s="14" t="s">
        <v>8</v>
      </c>
      <c r="H7" s="14" t="s">
        <v>9</v>
      </c>
      <c r="I7" s="14" t="s">
        <v>10</v>
      </c>
      <c r="J7" s="14" t="s">
        <v>11</v>
      </c>
      <c r="K7" s="15"/>
      <c r="P7" s="16" t="s">
        <v>12</v>
      </c>
      <c r="U7" s="17" t="s">
        <v>13</v>
      </c>
      <c r="Z7" s="16" t="s">
        <v>14</v>
      </c>
      <c r="AE7" s="17" t="s">
        <v>15</v>
      </c>
      <c r="AJ7" s="13"/>
    </row>
    <row r="8" ht="15.75" customHeight="1"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ht="15.75" customHeight="1">
      <c r="A9" s="18" t="s">
        <v>16</v>
      </c>
      <c r="B9" s="19"/>
      <c r="C9" s="19"/>
      <c r="D9" s="19"/>
      <c r="E9" s="19"/>
      <c r="F9" s="19"/>
      <c r="G9" s="19"/>
      <c r="H9" s="19"/>
      <c r="I9" s="19"/>
      <c r="J9" s="19"/>
      <c r="K9" s="20"/>
      <c r="L9" s="21"/>
      <c r="M9" s="22"/>
      <c r="N9" s="22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</row>
    <row r="10" ht="15.75" customHeight="1">
      <c r="B10" s="23" t="s">
        <v>17</v>
      </c>
      <c r="C10" s="24">
        <v>43160.0</v>
      </c>
      <c r="D10" s="25">
        <f t="shared" ref="D10:D11" si="1">DAY(C10)</f>
        <v>1</v>
      </c>
      <c r="E10" s="26">
        <v>43165.0</v>
      </c>
      <c r="F10" s="25">
        <f>IF(E10="","",SUM(G10:H10))</f>
        <v>5</v>
      </c>
      <c r="G10" s="27">
        <f t="shared" ref="G10:G11" si="2">IF(((E10)=""),"",(J10)*(E10-C10))</f>
        <v>5</v>
      </c>
      <c r="H10" s="25">
        <f t="shared" ref="H10:H11" si="3">IF(G10="","",(E10-C10)-G10)</f>
        <v>0</v>
      </c>
      <c r="I10" s="23" t="s">
        <v>18</v>
      </c>
      <c r="J10" s="28">
        <v>1.0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ht="15.75" customHeight="1">
      <c r="B11" s="23" t="s">
        <v>19</v>
      </c>
      <c r="C11" s="24">
        <v>43189.0</v>
      </c>
      <c r="D11" s="25">
        <f t="shared" si="1"/>
        <v>30</v>
      </c>
      <c r="E11" s="29">
        <v>43197.0</v>
      </c>
      <c r="F11" s="25">
        <f>IF(ISBLANK(C11),"", (E11-C11))</f>
        <v>8</v>
      </c>
      <c r="G11" s="27">
        <f t="shared" si="2"/>
        <v>6.4</v>
      </c>
      <c r="H11" s="25">
        <f t="shared" si="3"/>
        <v>1.6</v>
      </c>
      <c r="I11" s="23" t="s">
        <v>20</v>
      </c>
      <c r="J11" s="30">
        <v>0.8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ht="15.75" customHeight="1">
      <c r="A12" s="18" t="s">
        <v>21</v>
      </c>
      <c r="B12" s="31"/>
      <c r="C12" s="31"/>
      <c r="D12" s="31"/>
      <c r="E12" s="31"/>
      <c r="F12" s="31"/>
      <c r="G12" s="31"/>
      <c r="H12" s="31"/>
      <c r="I12" s="31"/>
      <c r="J12" s="31"/>
    </row>
    <row r="13" ht="15.75" customHeight="1">
      <c r="B13" s="23" t="s">
        <v>22</v>
      </c>
      <c r="C13" s="24">
        <v>43199.0</v>
      </c>
      <c r="D13" s="25">
        <f t="shared" ref="D13:D14" si="4">DAY(C13)</f>
        <v>9</v>
      </c>
      <c r="E13" s="26">
        <v>43215.0</v>
      </c>
      <c r="F13" s="25">
        <f t="shared" ref="F13:F14" si="5">IF(ISBLANK(C13),"", (E13-C13))</f>
        <v>16</v>
      </c>
      <c r="G13" s="27">
        <f t="shared" ref="G13:G14" si="6">IF(((E13)=""),"",(J13)*(E13-C13))</f>
        <v>0</v>
      </c>
      <c r="H13" s="25">
        <f t="shared" ref="H13:H14" si="7">IF(G13="","",(E13-C13)-G13)</f>
        <v>16</v>
      </c>
      <c r="I13" s="23" t="s">
        <v>23</v>
      </c>
      <c r="J13" s="32">
        <v>0.0</v>
      </c>
    </row>
    <row r="14" ht="15.75" customHeight="1">
      <c r="B14" s="23" t="s">
        <v>24</v>
      </c>
      <c r="C14" s="24">
        <v>43199.0</v>
      </c>
      <c r="D14" s="25">
        <f t="shared" si="4"/>
        <v>9</v>
      </c>
      <c r="E14" s="26">
        <v>43215.0</v>
      </c>
      <c r="F14" s="25">
        <f t="shared" si="5"/>
        <v>16</v>
      </c>
      <c r="G14" s="27">
        <f t="shared" si="6"/>
        <v>0</v>
      </c>
      <c r="H14" s="25">
        <f t="shared" si="7"/>
        <v>16</v>
      </c>
      <c r="I14" s="23" t="s">
        <v>18</v>
      </c>
      <c r="J14" s="33">
        <v>0.0</v>
      </c>
    </row>
    <row r="15" ht="15.75" customHeight="1">
      <c r="A15" s="18" t="s">
        <v>25</v>
      </c>
      <c r="B15" s="31"/>
      <c r="C15" s="31"/>
      <c r="D15" s="31"/>
      <c r="E15" s="31"/>
      <c r="F15" s="31"/>
      <c r="G15" s="31"/>
      <c r="H15" s="31"/>
      <c r="I15" s="31"/>
      <c r="J15" s="31"/>
    </row>
    <row r="16" ht="15.75" customHeight="1">
      <c r="B16" s="23" t="s">
        <v>26</v>
      </c>
      <c r="C16" s="24">
        <v>43216.0</v>
      </c>
      <c r="D16" s="25">
        <f t="shared" ref="D16:D17" si="8">DAY(C16)</f>
        <v>26</v>
      </c>
      <c r="E16" s="26">
        <v>43223.0</v>
      </c>
      <c r="F16" s="25">
        <f t="shared" ref="F16:F17" si="9">IF(ISBLANK(C16),"", (E16-C16))</f>
        <v>7</v>
      </c>
      <c r="G16" s="27">
        <f t="shared" ref="G16:G17" si="10">IF(((E16)=""),"",(J16)*(E16-C16))</f>
        <v>0</v>
      </c>
      <c r="H16" s="25">
        <f t="shared" ref="H16:H17" si="11">IF(G16="","",(E16-C16)-G16)</f>
        <v>7</v>
      </c>
      <c r="I16" s="23" t="s">
        <v>20</v>
      </c>
      <c r="J16" s="34">
        <v>0.0</v>
      </c>
    </row>
    <row r="17" ht="15.75" customHeight="1">
      <c r="B17" s="23" t="s">
        <v>27</v>
      </c>
      <c r="C17" s="24">
        <v>43224.0</v>
      </c>
      <c r="D17" s="25">
        <f t="shared" si="8"/>
        <v>4</v>
      </c>
      <c r="E17" s="26">
        <v>43231.0</v>
      </c>
      <c r="F17" s="25">
        <f t="shared" si="9"/>
        <v>7</v>
      </c>
      <c r="G17" s="27">
        <f t="shared" si="10"/>
        <v>0</v>
      </c>
      <c r="H17" s="25">
        <f t="shared" si="11"/>
        <v>7</v>
      </c>
      <c r="I17" s="23" t="s">
        <v>18</v>
      </c>
      <c r="J17" s="34">
        <v>0.0</v>
      </c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5.75" customHeight="1">
      <c r="A19" s="2"/>
      <c r="B19" s="1"/>
      <c r="C19" s="2"/>
      <c r="D19" s="2"/>
      <c r="E19" s="2"/>
      <c r="F19" s="2"/>
      <c r="G19" s="2"/>
      <c r="H19" s="2"/>
      <c r="I19" s="2"/>
      <c r="J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6">
    <mergeCell ref="G7:G8"/>
    <mergeCell ref="H7:H8"/>
    <mergeCell ref="J7:J8"/>
    <mergeCell ref="K7:O7"/>
    <mergeCell ref="P7:T7"/>
    <mergeCell ref="U7:Y7"/>
    <mergeCell ref="Z7:AD7"/>
    <mergeCell ref="AE7:AI7"/>
    <mergeCell ref="E3:I3"/>
    <mergeCell ref="A7:A8"/>
    <mergeCell ref="B7:B8"/>
    <mergeCell ref="C7:C8"/>
    <mergeCell ref="D7:D8"/>
    <mergeCell ref="E7:E8"/>
    <mergeCell ref="F7:F8"/>
    <mergeCell ref="I7:I8"/>
  </mergeCells>
  <conditionalFormatting sqref="J10:J11 J13:J14 J16:J17">
    <cfRule type="colorScale" priority="1">
      <colorScale>
        <cfvo type="percent" val="0"/>
        <cfvo type="percent" val="100"/>
        <color rgb="FFFFFFFF"/>
        <color rgb="FF5CBCD6"/>
      </colorScale>
    </cfRule>
  </conditionalFormatting>
  <dataValidations>
    <dataValidation type="custom" allowBlank="1" showDropDown="1" sqref="C10:C11 E10:E11 E13:E14 E16:E17">
      <formula1>OR(NOT(ISERROR(DATEVALUE(C10))), AND(ISNUMBER(C10), LEFT(CELL("format", C10))="D"))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20.13"/>
    <col customWidth="1" min="3" max="4" width="8.88"/>
    <col customWidth="1" min="5" max="7" width="10.75"/>
    <col customWidth="1" min="8" max="67" width="3.88"/>
  </cols>
  <sheetData>
    <row r="1" ht="15.75" customHeight="1">
      <c r="A1" s="1"/>
      <c r="B1" s="1"/>
      <c r="C1" s="1"/>
      <c r="D1" s="1"/>
      <c r="E1" s="2"/>
      <c r="F1" s="2"/>
      <c r="G1" s="2"/>
      <c r="H1" s="1"/>
      <c r="I1" s="1"/>
      <c r="J1" s="1"/>
      <c r="K1" s="1"/>
      <c r="L1" s="2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ht="15.75" customHeight="1">
      <c r="A2" s="35"/>
      <c r="B2" s="1"/>
      <c r="C2" s="1"/>
      <c r="D2" s="1"/>
      <c r="E2" s="2"/>
      <c r="F2" s="2"/>
      <c r="G2" s="2"/>
      <c r="H2" s="1"/>
      <c r="I2" s="1"/>
      <c r="J2" s="1"/>
      <c r="K2" s="1"/>
      <c r="L2" s="2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 ht="15.75" customHeight="1">
      <c r="A3" s="36" t="s">
        <v>28</v>
      </c>
      <c r="B3" s="5"/>
      <c r="C3" s="5"/>
      <c r="D3" s="5"/>
      <c r="E3" s="5"/>
      <c r="F3" s="5"/>
      <c r="G3" s="5"/>
      <c r="H3" s="9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G3" s="9"/>
      <c r="AH3" s="9"/>
      <c r="AI3" s="9"/>
      <c r="AJ3" s="9"/>
      <c r="AK3" s="9"/>
      <c r="AL3" s="9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</row>
    <row r="4" ht="15.75" customHeight="1">
      <c r="A4" s="3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ht="15.75" customHeight="1">
      <c r="A5" s="3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ht="15.75" customHeight="1">
      <c r="A6" s="14"/>
      <c r="B6" s="14" t="s">
        <v>3</v>
      </c>
      <c r="C6" s="14" t="s">
        <v>4</v>
      </c>
      <c r="D6" s="14" t="s">
        <v>6</v>
      </c>
      <c r="E6" s="14" t="s">
        <v>29</v>
      </c>
      <c r="F6" s="14" t="s">
        <v>10</v>
      </c>
      <c r="G6" s="39" t="s">
        <v>11</v>
      </c>
      <c r="H6" s="40" t="s">
        <v>30</v>
      </c>
      <c r="I6" s="41"/>
      <c r="J6" s="41"/>
      <c r="K6" s="41"/>
      <c r="L6" s="41"/>
      <c r="M6" s="42" t="s">
        <v>31</v>
      </c>
      <c r="N6" s="41"/>
      <c r="O6" s="41"/>
      <c r="P6" s="41"/>
      <c r="Q6" s="41"/>
      <c r="R6" s="40" t="s">
        <v>32</v>
      </c>
      <c r="S6" s="41"/>
      <c r="T6" s="41"/>
      <c r="U6" s="41"/>
      <c r="V6" s="41"/>
      <c r="W6" s="42" t="s">
        <v>33</v>
      </c>
      <c r="X6" s="41"/>
      <c r="Y6" s="41"/>
      <c r="Z6" s="41"/>
      <c r="AA6" s="41"/>
      <c r="AB6" s="40" t="s">
        <v>34</v>
      </c>
      <c r="AC6" s="41"/>
      <c r="AD6" s="41"/>
      <c r="AE6" s="41"/>
      <c r="AF6" s="41"/>
      <c r="AG6" s="42" t="s">
        <v>35</v>
      </c>
      <c r="AH6" s="41"/>
      <c r="AI6" s="41"/>
      <c r="AJ6" s="41"/>
      <c r="AK6" s="41"/>
      <c r="AL6" s="40" t="s">
        <v>36</v>
      </c>
      <c r="AM6" s="41"/>
      <c r="AN6" s="41"/>
      <c r="AO6" s="41"/>
      <c r="AP6" s="41"/>
      <c r="AQ6" s="42" t="s">
        <v>37</v>
      </c>
      <c r="AR6" s="41"/>
      <c r="AS6" s="41"/>
      <c r="AT6" s="41"/>
      <c r="AU6" s="41"/>
      <c r="AV6" s="40" t="s">
        <v>38</v>
      </c>
      <c r="AW6" s="41"/>
      <c r="AX6" s="41"/>
      <c r="AY6" s="41"/>
      <c r="AZ6" s="41"/>
      <c r="BA6" s="42" t="s">
        <v>39</v>
      </c>
      <c r="BB6" s="41"/>
      <c r="BC6" s="41"/>
      <c r="BD6" s="41"/>
      <c r="BE6" s="41"/>
      <c r="BF6" s="40" t="s">
        <v>40</v>
      </c>
      <c r="BG6" s="41"/>
      <c r="BH6" s="41"/>
      <c r="BI6" s="41"/>
      <c r="BJ6" s="41"/>
      <c r="BK6" s="42" t="s">
        <v>41</v>
      </c>
      <c r="BL6" s="41"/>
      <c r="BM6" s="41"/>
      <c r="BN6" s="41"/>
      <c r="BO6" s="41"/>
    </row>
    <row r="7" ht="15.75" customHeight="1">
      <c r="G7" s="43"/>
      <c r="H7" s="44" t="s">
        <v>42</v>
      </c>
      <c r="I7" s="44" t="s">
        <v>43</v>
      </c>
      <c r="J7" s="44" t="s">
        <v>44</v>
      </c>
      <c r="K7" s="44" t="s">
        <v>45</v>
      </c>
      <c r="L7" s="44" t="s">
        <v>46</v>
      </c>
      <c r="M7" s="45" t="s">
        <v>42</v>
      </c>
      <c r="N7" s="45" t="s">
        <v>43</v>
      </c>
      <c r="O7" s="45" t="s">
        <v>44</v>
      </c>
      <c r="P7" s="45" t="s">
        <v>45</v>
      </c>
      <c r="Q7" s="45" t="s">
        <v>46</v>
      </c>
      <c r="R7" s="44" t="s">
        <v>42</v>
      </c>
      <c r="S7" s="44" t="s">
        <v>43</v>
      </c>
      <c r="T7" s="44" t="s">
        <v>44</v>
      </c>
      <c r="U7" s="44" t="s">
        <v>45</v>
      </c>
      <c r="V7" s="44" t="s">
        <v>46</v>
      </c>
      <c r="W7" s="45" t="s">
        <v>42</v>
      </c>
      <c r="X7" s="45" t="s">
        <v>43</v>
      </c>
      <c r="Y7" s="45" t="s">
        <v>44</v>
      </c>
      <c r="Z7" s="45" t="s">
        <v>45</v>
      </c>
      <c r="AA7" s="45" t="s">
        <v>46</v>
      </c>
      <c r="AB7" s="44" t="s">
        <v>42</v>
      </c>
      <c r="AC7" s="44" t="s">
        <v>43</v>
      </c>
      <c r="AD7" s="44" t="s">
        <v>44</v>
      </c>
      <c r="AE7" s="44" t="s">
        <v>45</v>
      </c>
      <c r="AF7" s="44" t="s">
        <v>46</v>
      </c>
      <c r="AG7" s="45" t="s">
        <v>42</v>
      </c>
      <c r="AH7" s="45" t="s">
        <v>43</v>
      </c>
      <c r="AI7" s="45" t="s">
        <v>44</v>
      </c>
      <c r="AJ7" s="45" t="s">
        <v>45</v>
      </c>
      <c r="AK7" s="45" t="s">
        <v>46</v>
      </c>
      <c r="AL7" s="44" t="s">
        <v>42</v>
      </c>
      <c r="AM7" s="44" t="s">
        <v>43</v>
      </c>
      <c r="AN7" s="44" t="s">
        <v>44</v>
      </c>
      <c r="AO7" s="44" t="s">
        <v>45</v>
      </c>
      <c r="AP7" s="44" t="s">
        <v>46</v>
      </c>
      <c r="AQ7" s="45" t="s">
        <v>42</v>
      </c>
      <c r="AR7" s="45" t="s">
        <v>43</v>
      </c>
      <c r="AS7" s="45" t="s">
        <v>44</v>
      </c>
      <c r="AT7" s="45" t="s">
        <v>45</v>
      </c>
      <c r="AU7" s="45" t="s">
        <v>46</v>
      </c>
      <c r="AV7" s="44" t="s">
        <v>42</v>
      </c>
      <c r="AW7" s="44" t="s">
        <v>43</v>
      </c>
      <c r="AX7" s="44" t="s">
        <v>44</v>
      </c>
      <c r="AY7" s="44" t="s">
        <v>45</v>
      </c>
      <c r="AZ7" s="44" t="s">
        <v>46</v>
      </c>
      <c r="BA7" s="45" t="s">
        <v>42</v>
      </c>
      <c r="BB7" s="45" t="s">
        <v>43</v>
      </c>
      <c r="BC7" s="45" t="s">
        <v>44</v>
      </c>
      <c r="BD7" s="45" t="s">
        <v>45</v>
      </c>
      <c r="BE7" s="45" t="s">
        <v>46</v>
      </c>
      <c r="BF7" s="44" t="s">
        <v>42</v>
      </c>
      <c r="BG7" s="44" t="s">
        <v>43</v>
      </c>
      <c r="BH7" s="44" t="s">
        <v>44</v>
      </c>
      <c r="BI7" s="44" t="s">
        <v>45</v>
      </c>
      <c r="BJ7" s="44" t="s">
        <v>46</v>
      </c>
      <c r="BK7" s="45" t="s">
        <v>42</v>
      </c>
      <c r="BL7" s="45" t="s">
        <v>43</v>
      </c>
      <c r="BM7" s="45" t="s">
        <v>44</v>
      </c>
      <c r="BN7" s="45" t="s">
        <v>45</v>
      </c>
      <c r="BO7" s="45" t="s">
        <v>46</v>
      </c>
    </row>
    <row r="8" ht="15.75" customHeight="1">
      <c r="A8" s="46" t="s">
        <v>16</v>
      </c>
      <c r="B8" s="47"/>
      <c r="C8" s="47"/>
      <c r="D8" s="48"/>
      <c r="E8" s="48"/>
      <c r="F8" s="48"/>
      <c r="G8" s="48"/>
      <c r="H8" s="19"/>
      <c r="I8" s="49"/>
      <c r="J8" s="50"/>
      <c r="K8" s="50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</row>
    <row r="9" ht="15.75" customHeight="1">
      <c r="B9" s="51" t="s">
        <v>17</v>
      </c>
      <c r="C9" s="52">
        <v>46099.0</v>
      </c>
      <c r="D9" s="52">
        <v>46111.0</v>
      </c>
      <c r="E9" s="53">
        <f t="shared" ref="E9:E10" si="1">DAYS360(C9,D9)</f>
        <v>12</v>
      </c>
      <c r="F9" s="51" t="s">
        <v>18</v>
      </c>
      <c r="G9" s="54">
        <v>1.0</v>
      </c>
      <c r="H9" s="55"/>
      <c r="I9" s="56"/>
      <c r="J9" s="57"/>
      <c r="K9" s="57"/>
      <c r="L9" s="57"/>
      <c r="M9" s="57"/>
      <c r="N9" s="57"/>
      <c r="O9" s="57"/>
      <c r="P9" s="58"/>
      <c r="Q9" s="58"/>
      <c r="R9" s="59"/>
      <c r="S9" s="59"/>
      <c r="T9" s="59"/>
      <c r="U9" s="59"/>
      <c r="V9" s="59"/>
      <c r="W9" s="58"/>
      <c r="X9" s="58"/>
      <c r="Y9" s="58"/>
      <c r="Z9" s="58"/>
      <c r="AA9" s="58"/>
      <c r="AB9" s="60"/>
      <c r="AC9" s="60"/>
      <c r="AD9" s="60"/>
      <c r="AE9" s="60"/>
      <c r="AF9" s="60"/>
      <c r="AG9" s="58"/>
      <c r="AH9" s="58"/>
      <c r="AI9" s="58"/>
      <c r="AJ9" s="58"/>
      <c r="AK9" s="58"/>
      <c r="AL9" s="60"/>
      <c r="AM9" s="60"/>
      <c r="AN9" s="60"/>
      <c r="AO9" s="60"/>
      <c r="AP9" s="60"/>
      <c r="AQ9" s="58"/>
      <c r="AR9" s="58"/>
      <c r="AS9" s="58"/>
      <c r="AT9" s="58"/>
      <c r="AU9" s="58"/>
      <c r="AV9" s="59"/>
      <c r="AW9" s="59"/>
      <c r="AX9" s="59"/>
      <c r="AY9" s="59"/>
      <c r="AZ9" s="59"/>
      <c r="BA9" s="58"/>
      <c r="BB9" s="58"/>
      <c r="BC9" s="58"/>
      <c r="BD9" s="58"/>
      <c r="BE9" s="58"/>
      <c r="BF9" s="60"/>
      <c r="BG9" s="60"/>
      <c r="BH9" s="60"/>
      <c r="BI9" s="60"/>
      <c r="BJ9" s="60"/>
      <c r="BK9" s="58"/>
      <c r="BL9" s="58"/>
      <c r="BM9" s="58"/>
      <c r="BN9" s="58"/>
      <c r="BO9" s="61"/>
    </row>
    <row r="10" ht="15.75" customHeight="1">
      <c r="B10" s="51" t="s">
        <v>19</v>
      </c>
      <c r="C10" s="52">
        <v>46101.0</v>
      </c>
      <c r="D10" s="52">
        <v>46118.0</v>
      </c>
      <c r="E10" s="53">
        <f t="shared" si="1"/>
        <v>16</v>
      </c>
      <c r="F10" s="51" t="s">
        <v>47</v>
      </c>
      <c r="G10" s="62">
        <v>0.8</v>
      </c>
      <c r="H10" s="63"/>
      <c r="I10" s="64"/>
      <c r="J10" s="59"/>
      <c r="K10" s="59"/>
      <c r="L10" s="59"/>
      <c r="M10" s="65"/>
      <c r="N10" s="65"/>
      <c r="O10" s="57"/>
      <c r="P10" s="57"/>
      <c r="Q10" s="57"/>
      <c r="R10" s="57"/>
      <c r="S10" s="57"/>
      <c r="T10" s="57"/>
      <c r="U10" s="57"/>
      <c r="V10" s="57"/>
      <c r="W10" s="58"/>
      <c r="X10" s="58"/>
      <c r="Y10" s="58"/>
      <c r="Z10" s="58"/>
      <c r="AA10" s="58"/>
      <c r="AB10" s="60"/>
      <c r="AC10" s="60"/>
      <c r="AD10" s="60"/>
      <c r="AE10" s="60"/>
      <c r="AF10" s="60"/>
      <c r="AG10" s="58"/>
      <c r="AH10" s="58"/>
      <c r="AI10" s="58"/>
      <c r="AJ10" s="58"/>
      <c r="AK10" s="58"/>
      <c r="AL10" s="60"/>
      <c r="AM10" s="60"/>
      <c r="AN10" s="60"/>
      <c r="AO10" s="60"/>
      <c r="AP10" s="60"/>
      <c r="AQ10" s="58"/>
      <c r="AR10" s="58"/>
      <c r="AS10" s="58"/>
      <c r="AT10" s="58"/>
      <c r="AU10" s="58"/>
      <c r="AV10" s="59"/>
      <c r="AW10" s="59"/>
      <c r="AX10" s="59"/>
      <c r="AY10" s="59"/>
      <c r="AZ10" s="59"/>
      <c r="BA10" s="58"/>
      <c r="BB10" s="58"/>
      <c r="BC10" s="58"/>
      <c r="BD10" s="58"/>
      <c r="BE10" s="58"/>
      <c r="BF10" s="60"/>
      <c r="BG10" s="60"/>
      <c r="BH10" s="60"/>
      <c r="BI10" s="60"/>
      <c r="BJ10" s="60"/>
      <c r="BK10" s="58"/>
      <c r="BL10" s="58"/>
      <c r="BM10" s="58"/>
      <c r="BN10" s="58"/>
      <c r="BO10" s="61"/>
    </row>
    <row r="11" ht="15.75" customHeight="1">
      <c r="A11" s="46" t="s">
        <v>21</v>
      </c>
      <c r="B11" s="66"/>
      <c r="C11" s="66"/>
      <c r="D11" s="48"/>
      <c r="E11" s="48"/>
      <c r="F11" s="48"/>
      <c r="G11" s="48"/>
      <c r="H11" s="67"/>
      <c r="I11" s="68"/>
      <c r="J11" s="69"/>
      <c r="K11" s="69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</row>
    <row r="12" ht="15.75" customHeight="1">
      <c r="B12" s="51" t="s">
        <v>22</v>
      </c>
      <c r="C12" s="52">
        <v>46119.0</v>
      </c>
      <c r="D12" s="52">
        <v>46154.0</v>
      </c>
      <c r="E12" s="53">
        <f t="shared" ref="E12:E13" si="2">DAYS360(C12,D12)</f>
        <v>35</v>
      </c>
      <c r="F12" s="51" t="s">
        <v>23</v>
      </c>
      <c r="G12" s="70">
        <v>0.0</v>
      </c>
      <c r="H12" s="63"/>
      <c r="I12" s="64"/>
      <c r="J12" s="59"/>
      <c r="K12" s="59"/>
      <c r="L12" s="59"/>
      <c r="M12" s="58"/>
      <c r="N12" s="58"/>
      <c r="O12" s="58"/>
      <c r="P12" s="58"/>
      <c r="Q12" s="58"/>
      <c r="R12" s="59"/>
      <c r="S12" s="59"/>
      <c r="T12" s="59"/>
      <c r="U12" s="59"/>
      <c r="V12" s="59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58"/>
      <c r="BB12" s="58"/>
      <c r="BC12" s="58"/>
      <c r="BD12" s="58"/>
      <c r="BE12" s="58"/>
      <c r="BF12" s="60"/>
      <c r="BG12" s="60"/>
      <c r="BH12" s="60"/>
      <c r="BI12" s="60"/>
      <c r="BJ12" s="60"/>
      <c r="BK12" s="58"/>
      <c r="BL12" s="58"/>
      <c r="BM12" s="58"/>
      <c r="BN12" s="58"/>
      <c r="BO12" s="61"/>
    </row>
    <row r="13" ht="15.75" customHeight="1">
      <c r="B13" s="51" t="s">
        <v>24</v>
      </c>
      <c r="C13" s="52">
        <v>46120.0</v>
      </c>
      <c r="D13" s="52">
        <v>46154.0</v>
      </c>
      <c r="E13" s="53">
        <f t="shared" si="2"/>
        <v>34</v>
      </c>
      <c r="F13" s="51" t="s">
        <v>18</v>
      </c>
      <c r="G13" s="72">
        <v>0.0</v>
      </c>
      <c r="H13" s="63"/>
      <c r="I13" s="64"/>
      <c r="J13" s="59"/>
      <c r="K13" s="59"/>
      <c r="L13" s="59"/>
      <c r="M13" s="58"/>
      <c r="N13" s="58"/>
      <c r="O13" s="58"/>
      <c r="P13" s="58"/>
      <c r="Q13" s="58"/>
      <c r="R13" s="59"/>
      <c r="S13" s="59"/>
      <c r="T13" s="59"/>
      <c r="U13" s="59"/>
      <c r="V13" s="59"/>
      <c r="W13" s="58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8"/>
      <c r="BB13" s="58"/>
      <c r="BC13" s="58"/>
      <c r="BD13" s="58"/>
      <c r="BE13" s="58"/>
      <c r="BF13" s="60"/>
      <c r="BG13" s="60"/>
      <c r="BH13" s="60"/>
      <c r="BI13" s="60"/>
      <c r="BJ13" s="60"/>
      <c r="BK13" s="58"/>
      <c r="BL13" s="58"/>
      <c r="BM13" s="58"/>
      <c r="BN13" s="58"/>
      <c r="BO13" s="61"/>
    </row>
    <row r="14" ht="15.75" customHeight="1">
      <c r="A14" s="46" t="s">
        <v>25</v>
      </c>
      <c r="B14" s="66"/>
      <c r="C14" s="66"/>
      <c r="D14" s="48"/>
      <c r="E14" s="48"/>
      <c r="F14" s="48"/>
      <c r="G14" s="48"/>
      <c r="H14" s="67"/>
      <c r="I14" s="68"/>
      <c r="J14" s="69"/>
      <c r="K14" s="69"/>
      <c r="L14" s="67"/>
      <c r="M14" s="73"/>
      <c r="N14" s="73"/>
      <c r="O14" s="73"/>
      <c r="P14" s="73"/>
      <c r="Q14" s="73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</row>
    <row r="15" ht="15.75" customHeight="1">
      <c r="B15" s="51" t="s">
        <v>26</v>
      </c>
      <c r="C15" s="52">
        <v>46154.0</v>
      </c>
      <c r="D15" s="52">
        <v>46164.0</v>
      </c>
      <c r="E15" s="53">
        <f t="shared" ref="E15:E16" si="3">DAYS360(C15,D15)</f>
        <v>10</v>
      </c>
      <c r="F15" s="51" t="s">
        <v>20</v>
      </c>
      <c r="G15" s="74">
        <v>0.0</v>
      </c>
      <c r="H15" s="63"/>
      <c r="I15" s="64"/>
      <c r="J15" s="59"/>
      <c r="K15" s="59"/>
      <c r="L15" s="59"/>
      <c r="M15" s="58"/>
      <c r="N15" s="58"/>
      <c r="O15" s="58"/>
      <c r="P15" s="58"/>
      <c r="Q15" s="58"/>
      <c r="R15" s="59"/>
      <c r="S15" s="59"/>
      <c r="T15" s="59"/>
      <c r="U15" s="59"/>
      <c r="V15" s="59"/>
      <c r="W15" s="58"/>
      <c r="X15" s="58"/>
      <c r="Y15" s="58"/>
      <c r="Z15" s="58"/>
      <c r="AA15" s="58"/>
      <c r="AB15" s="60"/>
      <c r="AC15" s="60"/>
      <c r="AD15" s="60"/>
      <c r="AE15" s="60"/>
      <c r="AF15" s="60"/>
      <c r="AG15" s="58"/>
      <c r="AH15" s="58"/>
      <c r="AI15" s="58"/>
      <c r="AJ15" s="58"/>
      <c r="AK15" s="58"/>
      <c r="AL15" s="60"/>
      <c r="AM15" s="60"/>
      <c r="AN15" s="60"/>
      <c r="AO15" s="60"/>
      <c r="AP15" s="60"/>
      <c r="AQ15" s="58"/>
      <c r="AR15" s="58"/>
      <c r="AS15" s="58"/>
      <c r="AT15" s="58"/>
      <c r="AU15" s="58"/>
      <c r="AV15" s="59"/>
      <c r="AW15" s="59"/>
      <c r="AX15" s="59"/>
      <c r="AY15" s="59"/>
      <c r="AZ15" s="59"/>
      <c r="BA15" s="57"/>
      <c r="BB15" s="57"/>
      <c r="BC15" s="57"/>
      <c r="BD15" s="57"/>
      <c r="BE15" s="57"/>
      <c r="BF15" s="57"/>
      <c r="BG15" s="57"/>
      <c r="BH15" s="57"/>
      <c r="BI15" s="60"/>
      <c r="BJ15" s="60"/>
      <c r="BK15" s="58"/>
      <c r="BL15" s="58"/>
      <c r="BM15" s="58"/>
      <c r="BN15" s="58"/>
      <c r="BO15" s="61"/>
    </row>
    <row r="16" ht="15.75" customHeight="1">
      <c r="B16" s="51" t="s">
        <v>27</v>
      </c>
      <c r="C16" s="52">
        <v>46165.0</v>
      </c>
      <c r="D16" s="52">
        <v>46181.0</v>
      </c>
      <c r="E16" s="53">
        <f t="shared" si="3"/>
        <v>15</v>
      </c>
      <c r="F16" s="51" t="s">
        <v>23</v>
      </c>
      <c r="G16" s="74">
        <v>0.0</v>
      </c>
      <c r="H16" s="63"/>
      <c r="I16" s="64"/>
      <c r="J16" s="59"/>
      <c r="K16" s="59"/>
      <c r="L16" s="59"/>
      <c r="M16" s="58"/>
      <c r="N16" s="58"/>
      <c r="O16" s="58"/>
      <c r="P16" s="58"/>
      <c r="Q16" s="58"/>
      <c r="R16" s="59"/>
      <c r="S16" s="59"/>
      <c r="T16" s="59"/>
      <c r="U16" s="59"/>
      <c r="V16" s="59"/>
      <c r="W16" s="58"/>
      <c r="X16" s="58"/>
      <c r="Y16" s="58"/>
      <c r="Z16" s="58"/>
      <c r="AA16" s="58"/>
      <c r="AB16" s="60"/>
      <c r="AC16" s="60"/>
      <c r="AD16" s="60"/>
      <c r="AE16" s="60"/>
      <c r="AF16" s="60"/>
      <c r="AG16" s="58"/>
      <c r="AH16" s="58"/>
      <c r="AI16" s="58"/>
      <c r="AJ16" s="58"/>
      <c r="AK16" s="58"/>
      <c r="AL16" s="60"/>
      <c r="AM16" s="60"/>
      <c r="AN16" s="60"/>
      <c r="AO16" s="60"/>
      <c r="AP16" s="60"/>
      <c r="AQ16" s="58"/>
      <c r="AR16" s="58"/>
      <c r="AS16" s="58"/>
      <c r="AT16" s="58"/>
      <c r="AU16" s="58"/>
      <c r="AV16" s="59"/>
      <c r="AW16" s="59"/>
      <c r="AX16" s="59"/>
      <c r="AY16" s="59"/>
      <c r="AZ16" s="59"/>
      <c r="BA16" s="58"/>
      <c r="BB16" s="58"/>
      <c r="BC16" s="58"/>
      <c r="BD16" s="58"/>
      <c r="BE16" s="58"/>
      <c r="BF16" s="60"/>
      <c r="BG16" s="60"/>
      <c r="BH16" s="57"/>
      <c r="BI16" s="57"/>
      <c r="BJ16" s="57"/>
      <c r="BK16" s="57"/>
      <c r="BL16" s="57"/>
      <c r="BM16" s="57"/>
      <c r="BN16" s="57"/>
      <c r="BO16" s="75"/>
    </row>
    <row r="17" ht="15.75" customHeight="1">
      <c r="A17" s="76"/>
      <c r="B17" s="2"/>
      <c r="C17" s="2"/>
      <c r="D17" s="2"/>
      <c r="E17" s="2"/>
      <c r="F17" s="2"/>
      <c r="G17" s="2"/>
    </row>
    <row r="18" ht="15.75" customHeight="1">
      <c r="A18" s="76"/>
      <c r="B18" s="2"/>
      <c r="C18" s="2"/>
      <c r="D18" s="2"/>
      <c r="E18" s="2"/>
      <c r="F18" s="2"/>
      <c r="G18" s="2"/>
    </row>
    <row r="19" ht="15.75" customHeight="1">
      <c r="A19" s="76"/>
      <c r="B19" s="2"/>
      <c r="C19" s="2"/>
      <c r="D19" s="2"/>
      <c r="E19" s="2"/>
      <c r="F19" s="2"/>
      <c r="G19" s="2"/>
    </row>
    <row r="20" ht="15.75" customHeight="1">
      <c r="A20" s="77"/>
    </row>
    <row r="21" ht="15.75" customHeight="1">
      <c r="A21" s="77"/>
    </row>
    <row r="22" ht="15.75" customHeight="1">
      <c r="A22" s="77"/>
    </row>
    <row r="23" ht="15.75" customHeight="1">
      <c r="A23" s="77"/>
    </row>
    <row r="24" ht="15.75" customHeight="1">
      <c r="A24" s="77"/>
    </row>
    <row r="25" ht="15.75" customHeight="1">
      <c r="A25" s="77"/>
    </row>
    <row r="26" ht="15.75" customHeight="1">
      <c r="A26" s="77"/>
    </row>
    <row r="27" ht="15.75" customHeight="1">
      <c r="A27" s="77"/>
    </row>
    <row r="28" ht="15.75" customHeight="1">
      <c r="A28" s="77"/>
    </row>
    <row r="29" ht="15.75" customHeight="1">
      <c r="A29" s="77"/>
    </row>
    <row r="30" ht="15.75" customHeight="1">
      <c r="A30" s="77"/>
    </row>
    <row r="31" ht="15.75" customHeight="1">
      <c r="A31" s="77"/>
    </row>
    <row r="32" ht="15.75" customHeight="1">
      <c r="A32" s="77"/>
    </row>
    <row r="33" ht="15.75" customHeight="1">
      <c r="A33" s="77"/>
    </row>
    <row r="34" ht="15.75" customHeight="1">
      <c r="A34" s="77"/>
    </row>
    <row r="35" ht="15.75" customHeight="1">
      <c r="A35" s="77"/>
    </row>
    <row r="36" ht="15.75" customHeight="1">
      <c r="A36" s="77"/>
    </row>
    <row r="37" ht="15.75" customHeight="1">
      <c r="A37" s="77"/>
    </row>
    <row r="38" ht="15.75" customHeight="1">
      <c r="A38" s="77"/>
    </row>
    <row r="39" ht="15.75" customHeight="1">
      <c r="A39" s="77"/>
    </row>
    <row r="40" ht="15.75" customHeight="1">
      <c r="A40" s="77"/>
    </row>
    <row r="41" ht="15.75" customHeight="1">
      <c r="A41" s="77"/>
    </row>
    <row r="42" ht="15.75" customHeight="1">
      <c r="A42" s="77"/>
    </row>
    <row r="43" ht="15.75" customHeight="1">
      <c r="A43" s="77"/>
    </row>
    <row r="44" ht="15.75" customHeight="1">
      <c r="A44" s="77"/>
    </row>
    <row r="45" ht="15.75" customHeight="1">
      <c r="A45" s="77"/>
    </row>
    <row r="46" ht="15.75" customHeight="1">
      <c r="A46" s="77"/>
    </row>
    <row r="47" ht="15.75" customHeight="1">
      <c r="A47" s="77"/>
    </row>
    <row r="48" ht="15.75" customHeight="1">
      <c r="A48" s="77"/>
    </row>
    <row r="49" ht="15.75" customHeight="1">
      <c r="A49" s="77"/>
    </row>
    <row r="50" ht="15.75" customHeight="1">
      <c r="A50" s="77"/>
    </row>
    <row r="51" ht="15.75" customHeight="1">
      <c r="A51" s="77"/>
    </row>
    <row r="52" ht="15.75" customHeight="1">
      <c r="A52" s="77"/>
    </row>
    <row r="53" ht="15.75" customHeight="1">
      <c r="A53" s="77"/>
    </row>
    <row r="54" ht="15.75" customHeight="1">
      <c r="A54" s="77"/>
    </row>
    <row r="55" ht="15.75" customHeight="1">
      <c r="A55" s="77"/>
    </row>
    <row r="56" ht="15.75" customHeight="1">
      <c r="A56" s="77"/>
    </row>
    <row r="57" ht="15.75" customHeight="1">
      <c r="A57" s="77"/>
    </row>
    <row r="58" ht="15.75" customHeight="1">
      <c r="A58" s="77"/>
    </row>
    <row r="59" ht="15.75" customHeight="1">
      <c r="A59" s="77"/>
    </row>
    <row r="60" ht="15.75" customHeight="1">
      <c r="A60" s="77"/>
    </row>
    <row r="61" ht="15.75" customHeight="1">
      <c r="A61" s="77"/>
    </row>
    <row r="62" ht="15.75" customHeight="1">
      <c r="A62" s="77"/>
    </row>
    <row r="63" ht="15.75" customHeight="1">
      <c r="A63" s="77"/>
    </row>
    <row r="64" ht="15.75" customHeight="1">
      <c r="A64" s="77"/>
    </row>
    <row r="65" ht="15.75" customHeight="1">
      <c r="A65" s="77"/>
    </row>
    <row r="66" ht="15.75" customHeight="1">
      <c r="A66" s="77"/>
    </row>
    <row r="67" ht="15.75" customHeight="1">
      <c r="A67" s="77"/>
    </row>
    <row r="68" ht="15.75" customHeight="1">
      <c r="A68" s="77"/>
    </row>
    <row r="69" ht="15.75" customHeight="1">
      <c r="A69" s="77"/>
    </row>
    <row r="70" ht="15.75" customHeight="1">
      <c r="A70" s="77"/>
    </row>
    <row r="71" ht="15.75" customHeight="1">
      <c r="A71" s="77"/>
    </row>
    <row r="72" ht="15.75" customHeight="1">
      <c r="A72" s="77"/>
    </row>
    <row r="73" ht="15.75" customHeight="1">
      <c r="A73" s="77"/>
    </row>
    <row r="74" ht="15.75" customHeight="1">
      <c r="A74" s="77"/>
    </row>
    <row r="75" ht="15.75" customHeight="1">
      <c r="A75" s="77"/>
    </row>
    <row r="76" ht="15.75" customHeight="1">
      <c r="A76" s="77"/>
    </row>
    <row r="77" ht="15.75" customHeight="1">
      <c r="A77" s="77"/>
    </row>
    <row r="78" ht="15.75" customHeight="1">
      <c r="A78" s="77"/>
    </row>
    <row r="79" ht="15.75" customHeight="1">
      <c r="A79" s="77"/>
    </row>
    <row r="80" ht="15.75" customHeight="1">
      <c r="A80" s="77"/>
    </row>
    <row r="81" ht="15.75" customHeight="1">
      <c r="A81" s="77"/>
    </row>
    <row r="82" ht="15.75" customHeight="1">
      <c r="A82" s="77"/>
    </row>
    <row r="83" ht="15.75" customHeight="1">
      <c r="A83" s="77"/>
    </row>
    <row r="84" ht="15.75" customHeight="1">
      <c r="A84" s="77"/>
    </row>
    <row r="85" ht="15.75" customHeight="1">
      <c r="A85" s="77"/>
    </row>
    <row r="86" ht="15.75" customHeight="1">
      <c r="A86" s="77"/>
    </row>
    <row r="87" ht="15.75" customHeight="1">
      <c r="A87" s="77"/>
    </row>
    <row r="88" ht="15.75" customHeight="1">
      <c r="A88" s="77"/>
    </row>
    <row r="89" ht="15.75" customHeight="1">
      <c r="A89" s="77"/>
    </row>
    <row r="90" ht="15.75" customHeight="1">
      <c r="A90" s="77"/>
    </row>
    <row r="91" ht="15.75" customHeight="1">
      <c r="A91" s="77"/>
    </row>
    <row r="92" ht="15.75" customHeight="1">
      <c r="A92" s="77"/>
    </row>
    <row r="93" ht="15.75" customHeight="1">
      <c r="A93" s="77"/>
    </row>
    <row r="94" ht="15.75" customHeight="1">
      <c r="A94" s="77"/>
    </row>
    <row r="95" ht="15.75" customHeight="1">
      <c r="A95" s="77"/>
    </row>
    <row r="96" ht="15.75" customHeight="1">
      <c r="A96" s="77"/>
    </row>
    <row r="97" ht="15.75" customHeight="1">
      <c r="A97" s="77"/>
    </row>
    <row r="98" ht="15.75" customHeight="1">
      <c r="A98" s="77"/>
    </row>
    <row r="99" ht="15.75" customHeight="1">
      <c r="A99" s="77"/>
    </row>
    <row r="100" ht="15.75" customHeight="1">
      <c r="A100" s="77"/>
    </row>
    <row r="101" ht="15.75" customHeight="1">
      <c r="A101" s="77"/>
    </row>
    <row r="102" ht="15.75" customHeight="1">
      <c r="A102" s="77"/>
    </row>
    <row r="103" ht="15.75" customHeight="1">
      <c r="A103" s="77"/>
    </row>
    <row r="104" ht="15.75" customHeight="1">
      <c r="A104" s="77"/>
    </row>
    <row r="105" ht="15.75" customHeight="1">
      <c r="A105" s="77"/>
    </row>
    <row r="106" ht="15.75" customHeight="1">
      <c r="A106" s="77"/>
    </row>
    <row r="107" ht="15.75" customHeight="1">
      <c r="A107" s="77"/>
    </row>
    <row r="108" ht="15.75" customHeight="1">
      <c r="A108" s="77"/>
    </row>
    <row r="109" ht="15.75" customHeight="1">
      <c r="A109" s="77"/>
    </row>
    <row r="110" ht="15.75" customHeight="1">
      <c r="A110" s="77"/>
    </row>
    <row r="111" ht="15.75" customHeight="1">
      <c r="A111" s="77"/>
    </row>
    <row r="112" ht="15.75" customHeight="1">
      <c r="A112" s="77"/>
    </row>
    <row r="113" ht="15.75" customHeight="1">
      <c r="A113" s="77"/>
    </row>
    <row r="114" ht="15.75" customHeight="1">
      <c r="A114" s="77"/>
    </row>
    <row r="115" ht="15.75" customHeight="1">
      <c r="A115" s="77"/>
    </row>
    <row r="116" ht="15.75" customHeight="1">
      <c r="A116" s="77"/>
    </row>
    <row r="117" ht="15.75" customHeight="1">
      <c r="A117" s="77"/>
    </row>
    <row r="118" ht="15.75" customHeight="1">
      <c r="A118" s="77"/>
    </row>
    <row r="119" ht="15.75" customHeight="1">
      <c r="A119" s="77"/>
    </row>
    <row r="120" ht="15.75" customHeight="1">
      <c r="A120" s="77"/>
    </row>
    <row r="121" ht="15.75" customHeight="1">
      <c r="A121" s="77"/>
    </row>
    <row r="122" ht="15.75" customHeight="1">
      <c r="A122" s="77"/>
    </row>
    <row r="123" ht="15.75" customHeight="1">
      <c r="A123" s="77"/>
    </row>
    <row r="124" ht="15.75" customHeight="1">
      <c r="A124" s="77"/>
    </row>
    <row r="125" ht="15.75" customHeight="1">
      <c r="A125" s="77"/>
    </row>
    <row r="126" ht="15.75" customHeight="1">
      <c r="A126" s="77"/>
    </row>
    <row r="127" ht="15.75" customHeight="1">
      <c r="A127" s="77"/>
    </row>
    <row r="128" ht="15.75" customHeight="1">
      <c r="A128" s="77"/>
    </row>
    <row r="129" ht="15.75" customHeight="1">
      <c r="A129" s="77"/>
    </row>
    <row r="130" ht="15.75" customHeight="1">
      <c r="A130" s="77"/>
    </row>
    <row r="131" ht="15.75" customHeight="1">
      <c r="A131" s="77"/>
    </row>
    <row r="132" ht="15.75" customHeight="1">
      <c r="A132" s="77"/>
    </row>
    <row r="133" ht="15.75" customHeight="1">
      <c r="A133" s="77"/>
    </row>
    <row r="134" ht="15.75" customHeight="1">
      <c r="A134" s="77"/>
    </row>
    <row r="135" ht="15.75" customHeight="1">
      <c r="A135" s="77"/>
    </row>
    <row r="136" ht="15.75" customHeight="1">
      <c r="A136" s="77"/>
    </row>
    <row r="137" ht="15.75" customHeight="1">
      <c r="A137" s="77"/>
    </row>
    <row r="138" ht="15.75" customHeight="1">
      <c r="A138" s="77"/>
    </row>
    <row r="139" ht="15.75" customHeight="1">
      <c r="A139" s="77"/>
    </row>
    <row r="140" ht="15.75" customHeight="1">
      <c r="A140" s="77"/>
    </row>
    <row r="141" ht="15.75" customHeight="1">
      <c r="A141" s="77"/>
    </row>
    <row r="142" ht="15.75" customHeight="1">
      <c r="A142" s="77"/>
    </row>
    <row r="143" ht="15.75" customHeight="1">
      <c r="A143" s="77"/>
    </row>
    <row r="144" ht="15.75" customHeight="1">
      <c r="A144" s="77"/>
    </row>
    <row r="145" ht="15.75" customHeight="1">
      <c r="A145" s="77"/>
    </row>
    <row r="146" ht="15.75" customHeight="1">
      <c r="A146" s="77"/>
    </row>
    <row r="147" ht="15.75" customHeight="1">
      <c r="A147" s="77"/>
    </row>
    <row r="148" ht="15.75" customHeight="1">
      <c r="A148" s="77"/>
    </row>
    <row r="149" ht="15.75" customHeight="1">
      <c r="A149" s="77"/>
    </row>
    <row r="150" ht="15.75" customHeight="1">
      <c r="A150" s="77"/>
    </row>
    <row r="151" ht="15.75" customHeight="1">
      <c r="A151" s="77"/>
    </row>
    <row r="152" ht="15.75" customHeight="1">
      <c r="A152" s="77"/>
    </row>
    <row r="153" ht="15.75" customHeight="1">
      <c r="A153" s="77"/>
    </row>
    <row r="154" ht="15.75" customHeight="1">
      <c r="A154" s="77"/>
    </row>
    <row r="155" ht="15.75" customHeight="1">
      <c r="A155" s="77"/>
    </row>
    <row r="156" ht="15.75" customHeight="1">
      <c r="A156" s="77"/>
    </row>
    <row r="157" ht="15.75" customHeight="1">
      <c r="A157" s="77"/>
    </row>
    <row r="158" ht="15.75" customHeight="1">
      <c r="A158" s="77"/>
    </row>
    <row r="159" ht="15.75" customHeight="1">
      <c r="A159" s="77"/>
    </row>
    <row r="160" ht="15.75" customHeight="1">
      <c r="A160" s="77"/>
    </row>
    <row r="161" ht="15.75" customHeight="1">
      <c r="A161" s="77"/>
    </row>
    <row r="162" ht="15.75" customHeight="1">
      <c r="A162" s="77"/>
    </row>
    <row r="163" ht="15.75" customHeight="1">
      <c r="A163" s="77"/>
    </row>
    <row r="164" ht="15.75" customHeight="1">
      <c r="A164" s="77"/>
    </row>
    <row r="165" ht="15.75" customHeight="1">
      <c r="A165" s="77"/>
    </row>
    <row r="166" ht="15.75" customHeight="1">
      <c r="A166" s="77"/>
    </row>
    <row r="167" ht="15.75" customHeight="1">
      <c r="A167" s="77"/>
    </row>
    <row r="168" ht="15.75" customHeight="1">
      <c r="A168" s="77"/>
    </row>
    <row r="169" ht="15.75" customHeight="1">
      <c r="A169" s="77"/>
    </row>
    <row r="170" ht="15.75" customHeight="1">
      <c r="A170" s="77"/>
    </row>
    <row r="171" ht="15.75" customHeight="1">
      <c r="A171" s="77"/>
    </row>
    <row r="172" ht="15.75" customHeight="1">
      <c r="A172" s="77"/>
    </row>
    <row r="173" ht="15.75" customHeight="1">
      <c r="A173" s="77"/>
    </row>
    <row r="174" ht="15.75" customHeight="1">
      <c r="A174" s="77"/>
    </row>
    <row r="175" ht="15.75" customHeight="1">
      <c r="A175" s="77"/>
    </row>
    <row r="176" ht="15.75" customHeight="1">
      <c r="A176" s="77"/>
    </row>
    <row r="177" ht="15.75" customHeight="1">
      <c r="A177" s="77"/>
    </row>
    <row r="178" ht="15.75" customHeight="1">
      <c r="A178" s="77"/>
    </row>
    <row r="179" ht="15.75" customHeight="1">
      <c r="A179" s="77"/>
    </row>
    <row r="180" ht="15.75" customHeight="1">
      <c r="A180" s="77"/>
    </row>
    <row r="181" ht="15.75" customHeight="1">
      <c r="A181" s="77"/>
    </row>
    <row r="182" ht="15.75" customHeight="1">
      <c r="A182" s="77"/>
    </row>
    <row r="183" ht="15.75" customHeight="1">
      <c r="A183" s="77"/>
    </row>
    <row r="184" ht="15.75" customHeight="1">
      <c r="A184" s="77"/>
    </row>
    <row r="185" ht="15.75" customHeight="1">
      <c r="A185" s="77"/>
    </row>
    <row r="186" ht="15.75" customHeight="1">
      <c r="A186" s="77"/>
    </row>
    <row r="187" ht="15.75" customHeight="1">
      <c r="A187" s="77"/>
    </row>
    <row r="188" ht="15.75" customHeight="1">
      <c r="A188" s="77"/>
    </row>
    <row r="189" ht="15.75" customHeight="1">
      <c r="A189" s="77"/>
    </row>
    <row r="190" ht="15.75" customHeight="1">
      <c r="A190" s="77"/>
    </row>
    <row r="191" ht="15.75" customHeight="1">
      <c r="A191" s="77"/>
    </row>
    <row r="192" ht="15.75" customHeight="1">
      <c r="A192" s="77"/>
    </row>
    <row r="193" ht="15.75" customHeight="1">
      <c r="A193" s="77"/>
    </row>
    <row r="194" ht="15.75" customHeight="1">
      <c r="A194" s="77"/>
    </row>
    <row r="195" ht="15.75" customHeight="1">
      <c r="A195" s="77"/>
    </row>
    <row r="196" ht="15.75" customHeight="1">
      <c r="A196" s="77"/>
    </row>
    <row r="197" ht="15.75" customHeight="1">
      <c r="A197" s="77"/>
    </row>
    <row r="198" ht="15.75" customHeight="1">
      <c r="A198" s="77"/>
    </row>
    <row r="199" ht="15.75" customHeight="1">
      <c r="A199" s="77"/>
    </row>
    <row r="200" ht="15.75" customHeight="1">
      <c r="A200" s="77"/>
    </row>
    <row r="201" ht="15.75" customHeight="1">
      <c r="A201" s="77"/>
    </row>
    <row r="202" ht="15.75" customHeight="1">
      <c r="A202" s="77"/>
    </row>
    <row r="203" ht="15.75" customHeight="1">
      <c r="A203" s="77"/>
    </row>
    <row r="204" ht="15.75" customHeight="1">
      <c r="A204" s="77"/>
    </row>
    <row r="205" ht="15.75" customHeight="1">
      <c r="A205" s="77"/>
    </row>
    <row r="206" ht="15.75" customHeight="1">
      <c r="A206" s="77"/>
    </row>
    <row r="207" ht="15.75" customHeight="1">
      <c r="A207" s="77"/>
    </row>
    <row r="208" ht="15.75" customHeight="1">
      <c r="A208" s="77"/>
    </row>
    <row r="209" ht="15.75" customHeight="1">
      <c r="A209" s="77"/>
    </row>
    <row r="210" ht="15.75" customHeight="1">
      <c r="A210" s="77"/>
    </row>
    <row r="211" ht="15.75" customHeight="1">
      <c r="A211" s="77"/>
    </row>
    <row r="212" ht="15.75" customHeight="1">
      <c r="A212" s="77"/>
    </row>
    <row r="213" ht="15.75" customHeight="1">
      <c r="A213" s="77"/>
    </row>
    <row r="214" ht="15.75" customHeight="1">
      <c r="A214" s="77"/>
    </row>
    <row r="215" ht="15.75" customHeight="1">
      <c r="A215" s="77"/>
    </row>
    <row r="216" ht="15.75" customHeight="1">
      <c r="A216" s="77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3">
    <mergeCell ref="AL6:AP6"/>
    <mergeCell ref="AQ6:AU6"/>
    <mergeCell ref="AV6:AZ6"/>
    <mergeCell ref="BA6:BE6"/>
    <mergeCell ref="BF6:BJ6"/>
    <mergeCell ref="BK6:BO6"/>
    <mergeCell ref="G6:G7"/>
    <mergeCell ref="H6:L6"/>
    <mergeCell ref="M6:Q6"/>
    <mergeCell ref="R6:V6"/>
    <mergeCell ref="W6:AA6"/>
    <mergeCell ref="AB6:AF6"/>
    <mergeCell ref="AG6:AK6"/>
    <mergeCell ref="C8:G8"/>
    <mergeCell ref="C11:G11"/>
    <mergeCell ref="C14:G14"/>
    <mergeCell ref="A3:G3"/>
    <mergeCell ref="A6:A7"/>
    <mergeCell ref="B6:B7"/>
    <mergeCell ref="C6:C7"/>
    <mergeCell ref="D6:D7"/>
    <mergeCell ref="E6:E7"/>
    <mergeCell ref="F6:F7"/>
  </mergeCells>
  <conditionalFormatting sqref="G9:G10 G12:G13 G15:G16">
    <cfRule type="colorScale" priority="1">
      <colorScale>
        <cfvo type="percent" val="0"/>
        <cfvo type="percent" val="100"/>
        <color rgb="FFFFFFFF"/>
        <color rgb="FF5CBCD6"/>
      </colorScale>
    </cfRule>
  </conditionalFormatting>
  <drawing r:id="rId1"/>
</worksheet>
</file>