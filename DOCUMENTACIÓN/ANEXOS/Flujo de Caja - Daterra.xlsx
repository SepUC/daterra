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5e1d6e4149eefadc/Desktop/"/>
    </mc:Choice>
  </mc:AlternateContent>
  <xr:revisionPtr revIDLastSave="0" documentId="8_{76706060-F9D7-4AA9-91E6-106AC914D5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ujo de Caja - Daterra (Actual" sheetId="1" r:id="rId1"/>
    <sheet name="Año 0" sheetId="2" r:id="rId2"/>
    <sheet name="Año 1" sheetId="3" r:id="rId3"/>
    <sheet name="Año 2" sheetId="4" r:id="rId4"/>
    <sheet name="Año 3" sheetId="5" r:id="rId5"/>
    <sheet name="Año 4" sheetId="6" r:id="rId6"/>
    <sheet name="Año 5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5" i="1" l="1"/>
  <c r="F15" i="1"/>
  <c r="E15" i="1"/>
  <c r="D15" i="1"/>
  <c r="B23" i="7"/>
  <c r="B22" i="6"/>
  <c r="B21" i="5"/>
  <c r="B21" i="4"/>
  <c r="B21" i="3"/>
  <c r="G10" i="1"/>
  <c r="G8" i="1"/>
  <c r="G7" i="1"/>
  <c r="G6" i="1"/>
  <c r="G5" i="1"/>
  <c r="G4" i="1"/>
  <c r="G3" i="1"/>
  <c r="F8" i="1"/>
  <c r="F7" i="1"/>
  <c r="F6" i="1"/>
  <c r="F5" i="1"/>
  <c r="F4" i="1"/>
  <c r="F3" i="1"/>
  <c r="E10" i="1"/>
  <c r="E7" i="1"/>
  <c r="E6" i="1"/>
  <c r="E5" i="1"/>
  <c r="E4" i="1"/>
  <c r="E3" i="1"/>
  <c r="D10" i="1"/>
  <c r="D7" i="1"/>
  <c r="D6" i="1"/>
  <c r="D5" i="1"/>
  <c r="D4" i="1"/>
  <c r="B20" i="3"/>
  <c r="C7" i="1"/>
  <c r="C6" i="1"/>
  <c r="C5" i="1"/>
  <c r="C4" i="1"/>
  <c r="C3" i="1"/>
  <c r="B7" i="1"/>
  <c r="B6" i="1"/>
  <c r="B5" i="1"/>
  <c r="B4" i="1"/>
  <c r="B3" i="1"/>
  <c r="B10" i="7"/>
  <c r="B9" i="7"/>
  <c r="B8" i="7"/>
  <c r="B12" i="7"/>
  <c r="B20" i="7"/>
  <c r="B14" i="7"/>
  <c r="B11" i="7"/>
  <c r="B7" i="7"/>
  <c r="B5" i="7"/>
  <c r="B10" i="6"/>
  <c r="B9" i="6"/>
  <c r="B8" i="6"/>
  <c r="B12" i="6"/>
  <c r="B11" i="6"/>
  <c r="B19" i="6"/>
  <c r="B13" i="6"/>
  <c r="B7" i="6"/>
  <c r="B5" i="6"/>
  <c r="B10" i="5"/>
  <c r="B9" i="5"/>
  <c r="B8" i="5"/>
  <c r="B14" i="2"/>
  <c r="B18" i="2"/>
  <c r="B18" i="3"/>
  <c r="B18" i="4"/>
  <c r="B18" i="5"/>
  <c r="B12" i="5"/>
  <c r="B7" i="5"/>
  <c r="B5" i="5"/>
  <c r="B12" i="3"/>
  <c r="B12" i="4"/>
  <c r="B10" i="4"/>
  <c r="B9" i="4"/>
  <c r="B8" i="4"/>
  <c r="B7" i="4"/>
  <c r="B5" i="4"/>
  <c r="B11" i="2"/>
  <c r="B7" i="2"/>
  <c r="B5" i="2"/>
  <c r="B7" i="3"/>
  <c r="B5" i="3"/>
  <c r="B10" i="3"/>
  <c r="B9" i="3"/>
  <c r="B8" i="3"/>
  <c r="F10" i="1" l="1"/>
  <c r="E9" i="1"/>
  <c r="E11" i="1" s="1"/>
  <c r="C9" i="1"/>
  <c r="C11" i="1" s="1"/>
  <c r="C15" i="1" s="1"/>
  <c r="D9" i="1"/>
  <c r="D11" i="1" s="1"/>
  <c r="G9" i="1"/>
  <c r="G11" i="1" s="1"/>
  <c r="F9" i="1"/>
  <c r="B13" i="7"/>
  <c r="B16" i="7"/>
  <c r="B15" i="6"/>
  <c r="B21" i="6"/>
  <c r="B24" i="6" s="1"/>
  <c r="B20" i="5"/>
  <c r="B20" i="4"/>
  <c r="B14" i="4"/>
  <c r="B11" i="5"/>
  <c r="B14" i="5"/>
  <c r="B14" i="3"/>
  <c r="B11" i="4"/>
  <c r="B20" i="2"/>
  <c r="B23" i="2" s="1"/>
  <c r="B11" i="3"/>
  <c r="F11" i="1" l="1"/>
  <c r="D14" i="1"/>
  <c r="E14" i="1"/>
  <c r="G14" i="1"/>
  <c r="C16" i="1"/>
  <c r="B22" i="7"/>
  <c r="B25" i="7" s="1"/>
  <c r="B23" i="4"/>
  <c r="B23" i="5"/>
  <c r="B23" i="3"/>
  <c r="F14" i="1" l="1"/>
  <c r="D16" i="1"/>
  <c r="E16" i="1" s="1"/>
  <c r="F16" i="1" l="1"/>
  <c r="G16" i="1" s="1"/>
</calcChain>
</file>

<file path=xl/sharedStrings.xml><?xml version="1.0" encoding="utf-8"?>
<sst xmlns="http://schemas.openxmlformats.org/spreadsheetml/2006/main" count="157" uniqueCount="51">
  <si>
    <t>PESTAÑA: VALORES GENERALES</t>
  </si>
  <si>
    <t>Nombre Gasto/Costo</t>
  </si>
  <si>
    <t>Año 0</t>
  </si>
  <si>
    <t>Año 1</t>
  </si>
  <si>
    <t>Año 2</t>
  </si>
  <si>
    <t>Año 3</t>
  </si>
  <si>
    <t>Año 4</t>
  </si>
  <si>
    <t>Año 5</t>
  </si>
  <si>
    <t>Hardware</t>
  </si>
  <si>
    <t>Software</t>
  </si>
  <si>
    <t>Gastos Operacionales</t>
  </si>
  <si>
    <t>Total Egresos Anuales</t>
  </si>
  <si>
    <t>Ingresos Anuales (Municipalidades)</t>
  </si>
  <si>
    <t>Utilidad Antes del Impuesto</t>
  </si>
  <si>
    <t>Impuesto (10% ProPyme)</t>
  </si>
  <si>
    <t>Flujo de Caja Neto</t>
  </si>
  <si>
    <t>Flujo de Caja Acumulado</t>
  </si>
  <si>
    <t>Nombre</t>
  </si>
  <si>
    <t>Costo/Gasto</t>
  </si>
  <si>
    <t>Total Costo/Gasto del periodo</t>
  </si>
  <si>
    <t>Total personal</t>
  </si>
  <si>
    <t>AWS</t>
  </si>
  <si>
    <t>Total Neto</t>
  </si>
  <si>
    <t>Microsoft Office 365 Copilot</t>
  </si>
  <si>
    <t>Total Software</t>
  </si>
  <si>
    <t>Equipos Computacionales</t>
  </si>
  <si>
    <t>Total Hardware</t>
  </si>
  <si>
    <t>Contador</t>
  </si>
  <si>
    <t>Costos legales</t>
  </si>
  <si>
    <t>Total Otros</t>
  </si>
  <si>
    <t>Google Ads</t>
  </si>
  <si>
    <t>Viajes y Reuniones</t>
  </si>
  <si>
    <t>Material Audiovisual Marketing</t>
  </si>
  <si>
    <t>Total Marketing</t>
  </si>
  <si>
    <t>Consolidado Anual</t>
  </si>
  <si>
    <t>Soporte Comercial</t>
  </si>
  <si>
    <t>Recursos Humanos</t>
  </si>
  <si>
    <t>Programador FullStack</t>
  </si>
  <si>
    <t>Programador Backend (Fundador)</t>
  </si>
  <si>
    <t>Programador Frontend (Fundador)</t>
  </si>
  <si>
    <t>Programador Móvil (Fundador)</t>
  </si>
  <si>
    <t>Marketing</t>
  </si>
  <si>
    <t>Depreciación Anual de equipos</t>
  </si>
  <si>
    <t>Pago Préstamo Bancario (5 años)</t>
  </si>
  <si>
    <t>Ingresos (1 Municipalidad x 1.000.000 mensual)</t>
  </si>
  <si>
    <t>Ingresos (0 Municipalidad x 1.000.000 mensual)</t>
  </si>
  <si>
    <t>Ingresos (3 Municipalidades x 1.000.000 mensual)</t>
  </si>
  <si>
    <t>Ingresos (5 Municipalidades x 1.000.000 mensual)</t>
  </si>
  <si>
    <t>Ingresos (9 Municipalidades x 1.000.000 mensual)</t>
  </si>
  <si>
    <t>Ingresos (13 Municipalidades x 1.000.000 mensual)</t>
  </si>
  <si>
    <t>Préstamo Bancario (Tasa 12% anual)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</si>
</sst>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 &quot;$&quot;* #,##0_ ;_ &quot;$&quot;* \-#,##0_ ;_ &quot;$&quot;* &quot;-&quot;_ ;_ @_ "/>
  </numFmts>
  <fonts count="9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0"/>
      <color rgb="FF000000"/>
      <name val="Arial"/>
      <scheme val="minor"/>
    </font>
    <font>
      <b/>
      <sz val="11"/>
      <color rgb="FF3F3F3F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11"/>
      <color rgb="FF3F3F3F"/>
      <name val="Arial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2" fontId="2" fillId="0" borderId="0" applyFont="0" applyFill="0" applyBorder="0" applyAlignment="0" applyProtection="0"/>
    <xf numFmtId="0" fontId="3" fillId="2" borderId="1" applyNumberFormat="0" applyAlignment="0" applyProtection="0"/>
  </cellStyleXfs>
  <cellXfs count="34">
    <xf numFmtId="0" fontId="0" fillId="0" borderId="0" xfId="0"/>
    <xf numFmtId="0" fontId="1" fillId="0" borderId="0" xfId="0" applyFont="1"/>
    <xf numFmtId="0" fontId="4" fillId="4" borderId="0" xfId="0" applyFont="1" applyFill="1" applyAlignment="1">
      <alignment horizontal="center"/>
    </xf>
    <xf numFmtId="0" fontId="4" fillId="3" borderId="0" xfId="0" applyFont="1" applyFill="1"/>
    <xf numFmtId="42" fontId="1" fillId="0" borderId="0" xfId="1" applyFont="1"/>
    <xf numFmtId="42" fontId="5" fillId="0" borderId="0" xfId="1" applyFont="1"/>
    <xf numFmtId="42" fontId="0" fillId="0" borderId="0" xfId="0" applyNumberFormat="1"/>
    <xf numFmtId="0" fontId="7" fillId="0" borderId="0" xfId="0" applyFont="1"/>
    <xf numFmtId="0" fontId="6" fillId="5" borderId="0" xfId="0" applyFont="1" applyFill="1"/>
    <xf numFmtId="42" fontId="6" fillId="5" borderId="0" xfId="0" applyNumberFormat="1" applyFont="1" applyFill="1"/>
    <xf numFmtId="42" fontId="3" fillId="6" borderId="0" xfId="2" applyNumberFormat="1" applyFill="1" applyBorder="1"/>
    <xf numFmtId="0" fontId="4" fillId="7" borderId="2" xfId="0" applyFont="1" applyFill="1" applyBorder="1"/>
    <xf numFmtId="0" fontId="6" fillId="7" borderId="2" xfId="0" applyFont="1" applyFill="1" applyBorder="1"/>
    <xf numFmtId="0" fontId="8" fillId="6" borderId="0" xfId="2" applyFont="1" applyFill="1" applyBorder="1"/>
    <xf numFmtId="42" fontId="8" fillId="6" borderId="0" xfId="2" applyNumberFormat="1" applyFont="1" applyFill="1" applyBorder="1"/>
    <xf numFmtId="0" fontId="3" fillId="4" borderId="0" xfId="2" applyFill="1" applyBorder="1"/>
    <xf numFmtId="42" fontId="3" fillId="4" borderId="0" xfId="2" applyNumberFormat="1" applyFill="1" applyBorder="1"/>
    <xf numFmtId="42" fontId="3" fillId="6" borderId="0" xfId="1" applyFont="1" applyFill="1" applyBorder="1"/>
    <xf numFmtId="0" fontId="3" fillId="8" borderId="0" xfId="2" applyFill="1" applyBorder="1"/>
    <xf numFmtId="42" fontId="3" fillId="8" borderId="0" xfId="2" applyNumberFormat="1" applyFill="1" applyBorder="1"/>
    <xf numFmtId="42" fontId="3" fillId="8" borderId="0" xfId="1" applyFont="1" applyFill="1" applyBorder="1"/>
    <xf numFmtId="0" fontId="1" fillId="7" borderId="3" xfId="0" applyFont="1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42" fontId="8" fillId="6" borderId="0" xfId="1" applyFont="1" applyFill="1" applyBorder="1"/>
    <xf numFmtId="42" fontId="3" fillId="4" borderId="0" xfId="1" applyFont="1" applyFill="1" applyBorder="1"/>
    <xf numFmtId="42" fontId="0" fillId="0" borderId="0" xfId="1" applyFont="1"/>
    <xf numFmtId="42" fontId="6" fillId="5" borderId="0" xfId="1" applyFont="1" applyFill="1"/>
    <xf numFmtId="0" fontId="1" fillId="9" borderId="0" xfId="0" applyFont="1" applyFill="1"/>
    <xf numFmtId="42" fontId="1" fillId="9" borderId="0" xfId="1" applyFont="1" applyFill="1"/>
    <xf numFmtId="0" fontId="1" fillId="10" borderId="0" xfId="0" applyFont="1" applyFill="1"/>
    <xf numFmtId="42" fontId="1" fillId="10" borderId="0" xfId="1" applyFont="1" applyFill="1"/>
    <xf numFmtId="0" fontId="0" fillId="10" borderId="0" xfId="0" applyFill="1"/>
    <xf numFmtId="0" fontId="4" fillId="10" borderId="0" xfId="0" applyFont="1" applyFill="1"/>
    <xf numFmtId="42" fontId="4" fillId="10" borderId="0" xfId="1" applyFont="1" applyFill="1"/>
  </cellXfs>
  <cellStyles count="3">
    <cellStyle name="Moneda [0]" xfId="1" builtinId="7"/>
    <cellStyle name="Normal" xfId="0" builtinId="0"/>
    <cellStyle name="Salida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68"/>
  <sheetViews>
    <sheetView tabSelected="1" workbookViewId="0">
      <selection activeCell="I17" sqref="I17"/>
    </sheetView>
  </sheetViews>
  <sheetFormatPr baseColWidth="10" defaultColWidth="12.5703125" defaultRowHeight="15.75" customHeight="1" x14ac:dyDescent="0.2"/>
  <cols>
    <col min="1" max="1" width="38.85546875" customWidth="1"/>
    <col min="2" max="2" width="21.28515625" customWidth="1"/>
    <col min="3" max="4" width="14.28515625" bestFit="1" customWidth="1"/>
    <col min="5" max="5" width="13.5703125" bestFit="1" customWidth="1"/>
    <col min="6" max="6" width="18.140625" customWidth="1"/>
    <col min="7" max="7" width="14.7109375" bestFit="1" customWidth="1"/>
  </cols>
  <sheetData>
    <row r="1" spans="1:7" ht="15" x14ac:dyDescent="0.25">
      <c r="A1" s="2" t="s">
        <v>0</v>
      </c>
      <c r="B1" s="2"/>
      <c r="C1" s="2"/>
      <c r="D1" s="2"/>
      <c r="E1" s="2"/>
      <c r="F1" s="2"/>
      <c r="G1" s="2"/>
    </row>
    <row r="2" spans="1:7" ht="15.75" customHeight="1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</row>
    <row r="3" spans="1:7" ht="14.25" x14ac:dyDescent="0.2">
      <c r="A3" s="1" t="s">
        <v>8</v>
      </c>
      <c r="B3" s="4">
        <f>'Año 0'!B7</f>
        <v>0</v>
      </c>
      <c r="C3" s="4">
        <f>'Año 1'!B7</f>
        <v>0</v>
      </c>
      <c r="D3" s="4">
        <v>0</v>
      </c>
      <c r="E3" s="4">
        <f>'Año 3'!B7</f>
        <v>6000000</v>
      </c>
      <c r="F3" s="4">
        <f>'Año 4'!B7</f>
        <v>1200000</v>
      </c>
      <c r="G3" s="4">
        <f>'Año 5'!B7</f>
        <v>2000000</v>
      </c>
    </row>
    <row r="4" spans="1:7" ht="14.25" x14ac:dyDescent="0.2">
      <c r="A4" s="1" t="s">
        <v>9</v>
      </c>
      <c r="B4" s="4">
        <f>'Año 0'!B5</f>
        <v>0</v>
      </c>
      <c r="C4" s="4">
        <f>'Año 1'!B5</f>
        <v>456990</v>
      </c>
      <c r="D4" s="4">
        <f>'Año 2'!B5</f>
        <v>576990</v>
      </c>
      <c r="E4" s="4">
        <f>'Año 3'!B5</f>
        <v>1176990</v>
      </c>
      <c r="F4" s="4">
        <f>'Año 4'!B5</f>
        <v>1656990</v>
      </c>
      <c r="G4" s="4">
        <f>'Año 5'!B5</f>
        <v>1656990</v>
      </c>
    </row>
    <row r="5" spans="1:7" ht="14.25" x14ac:dyDescent="0.2">
      <c r="A5" s="1" t="s">
        <v>36</v>
      </c>
      <c r="B5" s="4">
        <f>'Año 0'!B11</f>
        <v>0</v>
      </c>
      <c r="C5" s="4">
        <f>'Año 1'!B11</f>
        <v>21600000</v>
      </c>
      <c r="D5" s="4">
        <f>'Año 2'!B11</f>
        <v>21600000</v>
      </c>
      <c r="E5" s="4">
        <f>'Año 3'!B11</f>
        <v>28800000</v>
      </c>
      <c r="F5" s="4">
        <f>'Año 4'!B12</f>
        <v>55200000</v>
      </c>
      <c r="G5" s="4">
        <f>'Año 5'!B13</f>
        <v>69600000</v>
      </c>
    </row>
    <row r="6" spans="1:7" ht="14.25" x14ac:dyDescent="0.2">
      <c r="A6" s="1" t="s">
        <v>10</v>
      </c>
      <c r="B6" s="4">
        <f>'Año 0'!B14</f>
        <v>0</v>
      </c>
      <c r="C6" s="4">
        <f>'Año 1'!B14</f>
        <v>1740000</v>
      </c>
      <c r="D6" s="4">
        <f>'Año 2'!B14</f>
        <v>1740000</v>
      </c>
      <c r="E6" s="4">
        <f>'Año 3'!B14</f>
        <v>2700000</v>
      </c>
      <c r="F6" s="4">
        <f>'Año 4'!B15</f>
        <v>2700000</v>
      </c>
      <c r="G6" s="4">
        <f>'Año 5'!B16</f>
        <v>2700000</v>
      </c>
    </row>
    <row r="7" spans="1:7" ht="14.25" x14ac:dyDescent="0.2">
      <c r="A7" s="1" t="s">
        <v>41</v>
      </c>
      <c r="B7" s="4">
        <f>'Año 0'!B18</f>
        <v>0</v>
      </c>
      <c r="C7" s="4">
        <f>'Año 1'!B18</f>
        <v>1000000</v>
      </c>
      <c r="D7" s="4">
        <f>'Año 2'!B18</f>
        <v>1000000</v>
      </c>
      <c r="E7" s="4">
        <f>'Año 3'!B18</f>
        <v>6400000</v>
      </c>
      <c r="F7" s="4">
        <f>'Año 4'!B19</f>
        <v>6400000</v>
      </c>
      <c r="G7" s="4">
        <f>'Año 5'!B20</f>
        <v>9400000</v>
      </c>
    </row>
    <row r="8" spans="1:7" s="1" customFormat="1" ht="14.25" x14ac:dyDescent="0.2">
      <c r="A8" s="1" t="s">
        <v>42</v>
      </c>
      <c r="C8" s="1">
        <v>200000</v>
      </c>
      <c r="D8" s="1">
        <v>200000</v>
      </c>
      <c r="E8" s="1">
        <v>1200000</v>
      </c>
      <c r="F8" s="1">
        <f>7200000/12</f>
        <v>600000</v>
      </c>
      <c r="G8" s="1">
        <f>9200000/12</f>
        <v>766666.66666666663</v>
      </c>
    </row>
    <row r="9" spans="1:7" ht="14.25" x14ac:dyDescent="0.2">
      <c r="A9" s="27" t="s">
        <v>11</v>
      </c>
      <c r="B9" s="28">
        <v>0</v>
      </c>
      <c r="C9" s="28">
        <f>SUM(C4:C7)</f>
        <v>24796990</v>
      </c>
      <c r="D9" s="28">
        <f>SUM(D4:D7)</f>
        <v>24916990</v>
      </c>
      <c r="E9" s="28">
        <f>SUM(E3:E7)</f>
        <v>45076990</v>
      </c>
      <c r="F9" s="28">
        <f>SUM(F3:F7)</f>
        <v>67156990</v>
      </c>
      <c r="G9" s="28">
        <f>SUM(G3:G7)</f>
        <v>85356990</v>
      </c>
    </row>
    <row r="10" spans="1:7" s="31" customFormat="1" ht="14.25" x14ac:dyDescent="0.2">
      <c r="A10" s="29" t="s">
        <v>12</v>
      </c>
      <c r="B10" s="30">
        <v>0</v>
      </c>
      <c r="C10" s="30">
        <v>9600000</v>
      </c>
      <c r="D10" s="30">
        <f>'Año 2'!B21</f>
        <v>36000000</v>
      </c>
      <c r="E10" s="30">
        <f>'Año 3'!B21</f>
        <v>60000000</v>
      </c>
      <c r="F10" s="30">
        <f>'Año 4'!B22</f>
        <v>108000000</v>
      </c>
      <c r="G10" s="30">
        <f>'Año 5'!B23</f>
        <v>156000000</v>
      </c>
    </row>
    <row r="11" spans="1:7" ht="14.25" x14ac:dyDescent="0.2">
      <c r="A11" s="1" t="s">
        <v>13</v>
      </c>
      <c r="B11" s="4">
        <v>0</v>
      </c>
      <c r="C11" s="4">
        <f>SUM(C10,-C9)</f>
        <v>-15196990</v>
      </c>
      <c r="D11" s="4">
        <f>SUM(D10,-D9)</f>
        <v>11083010</v>
      </c>
      <c r="E11" s="4">
        <f>SUM(E10,-E9)</f>
        <v>14923010</v>
      </c>
      <c r="F11" s="4">
        <f>SUM(F10,-F9)</f>
        <v>40843010</v>
      </c>
      <c r="G11" s="4">
        <f>SUM(G10,-G9)</f>
        <v>70643010</v>
      </c>
    </row>
    <row r="12" spans="1:7" ht="14.25" x14ac:dyDescent="0.2">
      <c r="A12" s="1" t="s">
        <v>50</v>
      </c>
      <c r="B12" s="4">
        <v>0</v>
      </c>
      <c r="C12" s="4">
        <v>20000000</v>
      </c>
      <c r="D12" s="4">
        <v>0</v>
      </c>
      <c r="E12" s="4">
        <v>0</v>
      </c>
      <c r="F12" s="4">
        <v>0</v>
      </c>
      <c r="G12" s="4">
        <v>0</v>
      </c>
    </row>
    <row r="13" spans="1:7" ht="14.25" x14ac:dyDescent="0.2">
      <c r="A13" s="1" t="s">
        <v>43</v>
      </c>
      <c r="B13" s="4">
        <v>0</v>
      </c>
      <c r="C13" s="4">
        <v>0</v>
      </c>
      <c r="D13" s="4">
        <v>5548195</v>
      </c>
      <c r="E13" s="4">
        <v>5548195</v>
      </c>
      <c r="F13" s="4">
        <v>5548195</v>
      </c>
      <c r="G13" s="4">
        <v>5548195</v>
      </c>
    </row>
    <row r="14" spans="1:7" ht="14.25" x14ac:dyDescent="0.2">
      <c r="A14" s="1" t="s">
        <v>14</v>
      </c>
      <c r="B14" s="4">
        <v>0</v>
      </c>
      <c r="C14" s="4">
        <v>0</v>
      </c>
      <c r="D14" s="4">
        <f>D11*0.1</f>
        <v>1108301</v>
      </c>
      <c r="E14" s="4">
        <f>E11*0.1</f>
        <v>1492301</v>
      </c>
      <c r="F14" s="4">
        <f>F11*0.1</f>
        <v>4084301</v>
      </c>
      <c r="G14" s="4">
        <f>G11*0.1</f>
        <v>7064301</v>
      </c>
    </row>
    <row r="15" spans="1:7" ht="14.25" x14ac:dyDescent="0.2">
      <c r="A15" s="1" t="s">
        <v>15</v>
      </c>
      <c r="B15" s="4">
        <v>0</v>
      </c>
      <c r="C15" s="4">
        <f>C11+C12</f>
        <v>4803010</v>
      </c>
      <c r="D15" s="4">
        <f>D11-(D14+D13)</f>
        <v>4426514</v>
      </c>
      <c r="E15" s="4">
        <f>E11-(E14+E13)</f>
        <v>7882514</v>
      </c>
      <c r="F15" s="4">
        <f>F11-(F14+F13)</f>
        <v>31210514</v>
      </c>
      <c r="G15" s="4">
        <f>G11-(G14+G13)</f>
        <v>58030514</v>
      </c>
    </row>
    <row r="16" spans="1:7" ht="15" x14ac:dyDescent="0.25">
      <c r="A16" s="32" t="s">
        <v>16</v>
      </c>
      <c r="B16" s="33">
        <v>0</v>
      </c>
      <c r="C16" s="33">
        <f>SUM(B16,C15)</f>
        <v>4803010</v>
      </c>
      <c r="D16" s="33">
        <f>C16+D15</f>
        <v>9229524</v>
      </c>
      <c r="E16" s="33">
        <f>D16+E15</f>
        <v>17112038</v>
      </c>
      <c r="F16" s="33">
        <f>E16+F15</f>
        <v>48322552</v>
      </c>
      <c r="G16" s="33">
        <f>F16+G15</f>
        <v>106353066</v>
      </c>
    </row>
    <row r="17" spans="1:7" ht="14.25" x14ac:dyDescent="0.2">
      <c r="C17" s="5"/>
      <c r="D17" s="5"/>
      <c r="E17" s="5"/>
      <c r="F17" s="5"/>
      <c r="G17" s="5"/>
    </row>
    <row r="18" spans="1:7" ht="15.75" customHeight="1" x14ac:dyDescent="0.2">
      <c r="A18" s="1"/>
      <c r="B18" s="4"/>
      <c r="F18" s="7"/>
    </row>
    <row r="19" spans="1:7" ht="14.25" x14ac:dyDescent="0.2">
      <c r="A19" s="1"/>
      <c r="B19" s="4"/>
      <c r="F19" s="7"/>
    </row>
    <row r="20" spans="1:7" x14ac:dyDescent="0.2"/>
    <row r="21" spans="1:7" x14ac:dyDescent="0.2"/>
    <row r="22" spans="1:7" x14ac:dyDescent="0.2"/>
    <row r="23" spans="1:7" x14ac:dyDescent="0.2"/>
    <row r="24" spans="1:7" x14ac:dyDescent="0.2"/>
    <row r="25" spans="1:7" x14ac:dyDescent="0.2"/>
    <row r="26" spans="1:7" x14ac:dyDescent="0.2"/>
    <row r="27" spans="1:7" x14ac:dyDescent="0.2"/>
    <row r="28" spans="1:7" x14ac:dyDescent="0.2"/>
    <row r="29" spans="1:7" x14ac:dyDescent="0.2"/>
    <row r="30" spans="1:7" x14ac:dyDescent="0.2"/>
    <row r="31" spans="1:7" x14ac:dyDescent="0.2"/>
    <row r="32" spans="1:7" x14ac:dyDescent="0.2"/>
    <row r="33" x14ac:dyDescent="0.2"/>
    <row r="35" x14ac:dyDescent="0.2"/>
    <row r="36" x14ac:dyDescent="0.2"/>
    <row r="37" x14ac:dyDescent="0.2"/>
    <row r="38" x14ac:dyDescent="0.2"/>
    <row r="39" x14ac:dyDescent="0.2"/>
    <row r="40" x14ac:dyDescent="0.2"/>
    <row r="42" x14ac:dyDescent="0.2"/>
    <row r="43" x14ac:dyDescent="0.2"/>
    <row r="44" x14ac:dyDescent="0.2"/>
    <row r="45" x14ac:dyDescent="0.2"/>
    <row r="46" x14ac:dyDescent="0.2"/>
    <row r="47" x14ac:dyDescent="0.2"/>
    <row r="49" x14ac:dyDescent="0.2"/>
    <row r="50" x14ac:dyDescent="0.2"/>
    <row r="51" x14ac:dyDescent="0.2"/>
    <row r="52" x14ac:dyDescent="0.2"/>
    <row r="53" x14ac:dyDescent="0.2"/>
    <row r="54" x14ac:dyDescent="0.2"/>
    <row r="56" x14ac:dyDescent="0.2"/>
    <row r="57" x14ac:dyDescent="0.2"/>
    <row r="58" x14ac:dyDescent="0.2"/>
    <row r="59" x14ac:dyDescent="0.2"/>
    <row r="60" x14ac:dyDescent="0.2"/>
    <row r="61" x14ac:dyDescent="0.2"/>
    <row r="63" x14ac:dyDescent="0.2"/>
    <row r="64" x14ac:dyDescent="0.2"/>
    <row r="65" x14ac:dyDescent="0.2"/>
    <row r="66" x14ac:dyDescent="0.2"/>
    <row r="67" x14ac:dyDescent="0.2"/>
    <row r="68" x14ac:dyDescent="0.2"/>
  </sheetData>
  <mergeCells count="1">
    <mergeCell ref="A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30686-D7F4-4A40-B646-9BD46A591BD9}">
  <dimension ref="A1:B23"/>
  <sheetViews>
    <sheetView workbookViewId="0">
      <selection activeCell="A22" sqref="A22"/>
    </sheetView>
  </sheetViews>
  <sheetFormatPr baseColWidth="10" defaultRowHeight="12.75" x14ac:dyDescent="0.2"/>
  <cols>
    <col min="1" max="1" width="47.28515625" bestFit="1" customWidth="1"/>
    <col min="2" max="2" width="13.5703125" bestFit="1" customWidth="1"/>
    <col min="3" max="3" width="14.28515625" bestFit="1" customWidth="1"/>
  </cols>
  <sheetData>
    <row r="1" spans="1:2" ht="14.25" x14ac:dyDescent="0.2">
      <c r="A1" s="21" t="s">
        <v>34</v>
      </c>
      <c r="B1" s="22"/>
    </row>
    <row r="2" spans="1:2" ht="15" x14ac:dyDescent="0.25">
      <c r="A2" s="11" t="s">
        <v>17</v>
      </c>
      <c r="B2" s="12" t="s">
        <v>18</v>
      </c>
    </row>
    <row r="3" spans="1:2" ht="14.25" x14ac:dyDescent="0.2">
      <c r="A3" s="13" t="s">
        <v>23</v>
      </c>
      <c r="B3" s="14">
        <v>0</v>
      </c>
    </row>
    <row r="4" spans="1:2" ht="14.25" x14ac:dyDescent="0.2">
      <c r="A4" s="13" t="s">
        <v>21</v>
      </c>
      <c r="B4" s="14">
        <v>0</v>
      </c>
    </row>
    <row r="5" spans="1:2" ht="15" x14ac:dyDescent="0.25">
      <c r="A5" s="15" t="s">
        <v>24</v>
      </c>
      <c r="B5" s="16">
        <f>SUM(B3:B4)</f>
        <v>0</v>
      </c>
    </row>
    <row r="6" spans="1:2" ht="15" x14ac:dyDescent="0.25">
      <c r="A6" s="13" t="s">
        <v>25</v>
      </c>
      <c r="B6" s="10">
        <v>0</v>
      </c>
    </row>
    <row r="7" spans="1:2" ht="15" x14ac:dyDescent="0.25">
      <c r="A7" s="15" t="s">
        <v>26</v>
      </c>
      <c r="B7" s="16">
        <f>SUM(B6:B6)</f>
        <v>0</v>
      </c>
    </row>
    <row r="8" spans="1:2" ht="14.25" x14ac:dyDescent="0.2">
      <c r="A8" s="13" t="s">
        <v>38</v>
      </c>
      <c r="B8" s="14">
        <v>0</v>
      </c>
    </row>
    <row r="9" spans="1:2" ht="14.25" x14ac:dyDescent="0.2">
      <c r="A9" s="13" t="s">
        <v>39</v>
      </c>
      <c r="B9" s="14">
        <v>0</v>
      </c>
    </row>
    <row r="10" spans="1:2" ht="14.25" x14ac:dyDescent="0.2">
      <c r="A10" s="13" t="s">
        <v>40</v>
      </c>
      <c r="B10" s="14">
        <v>0</v>
      </c>
    </row>
    <row r="11" spans="1:2" ht="15" x14ac:dyDescent="0.25">
      <c r="A11" s="15" t="s">
        <v>20</v>
      </c>
      <c r="B11" s="16">
        <f>SUM(B8:B10)</f>
        <v>0</v>
      </c>
    </row>
    <row r="12" spans="1:2" ht="14.25" x14ac:dyDescent="0.2">
      <c r="A12" s="13" t="s">
        <v>27</v>
      </c>
      <c r="B12" s="23">
        <v>0</v>
      </c>
    </row>
    <row r="13" spans="1:2" ht="14.25" x14ac:dyDescent="0.2">
      <c r="A13" s="13" t="s">
        <v>28</v>
      </c>
      <c r="B13" s="23">
        <v>0</v>
      </c>
    </row>
    <row r="14" spans="1:2" ht="15" x14ac:dyDescent="0.25">
      <c r="A14" s="15" t="s">
        <v>29</v>
      </c>
      <c r="B14" s="16">
        <f>SUM(B12:B13)</f>
        <v>0</v>
      </c>
    </row>
    <row r="15" spans="1:2" ht="14.25" x14ac:dyDescent="0.2">
      <c r="A15" s="13" t="s">
        <v>30</v>
      </c>
      <c r="B15" s="23">
        <v>0</v>
      </c>
    </row>
    <row r="16" spans="1:2" ht="14.25" x14ac:dyDescent="0.2">
      <c r="A16" s="13" t="s">
        <v>31</v>
      </c>
      <c r="B16" s="23">
        <v>0</v>
      </c>
    </row>
    <row r="17" spans="1:2" ht="14.25" x14ac:dyDescent="0.2">
      <c r="A17" s="13" t="s">
        <v>32</v>
      </c>
      <c r="B17" s="23">
        <v>0</v>
      </c>
    </row>
    <row r="18" spans="1:2" ht="15" x14ac:dyDescent="0.25">
      <c r="A18" s="15" t="s">
        <v>33</v>
      </c>
      <c r="B18" s="24">
        <f>SUM(B15:B17)</f>
        <v>0</v>
      </c>
    </row>
    <row r="20" spans="1:2" ht="15" x14ac:dyDescent="0.25">
      <c r="A20" s="18" t="s">
        <v>19</v>
      </c>
      <c r="B20" s="19">
        <f>SUM(B6,B11)</f>
        <v>0</v>
      </c>
    </row>
    <row r="21" spans="1:2" ht="15" x14ac:dyDescent="0.25">
      <c r="A21" s="18" t="s">
        <v>45</v>
      </c>
      <c r="B21" s="20">
        <v>0</v>
      </c>
    </row>
    <row r="23" spans="1:2" ht="15" x14ac:dyDescent="0.25">
      <c r="A23" s="8" t="s">
        <v>22</v>
      </c>
      <c r="B23" s="9">
        <f>SUM(B21,-B20)</f>
        <v>0</v>
      </c>
    </row>
  </sheetData>
  <mergeCells count="1">
    <mergeCell ref="A1: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F206-AC94-4BB3-837B-AE1901F20C59}">
  <dimension ref="A1:E23"/>
  <sheetViews>
    <sheetView workbookViewId="0">
      <selection activeCell="A21" sqref="A21"/>
    </sheetView>
  </sheetViews>
  <sheetFormatPr baseColWidth="10" defaultRowHeight="12.75" x14ac:dyDescent="0.2"/>
  <cols>
    <col min="1" max="1" width="47.140625" customWidth="1"/>
    <col min="2" max="2" width="23.7109375" customWidth="1"/>
  </cols>
  <sheetData>
    <row r="1" spans="1:5" ht="14.25" x14ac:dyDescent="0.2">
      <c r="A1" s="21" t="s">
        <v>34</v>
      </c>
      <c r="B1" s="22"/>
    </row>
    <row r="2" spans="1:5" ht="15" x14ac:dyDescent="0.25">
      <c r="A2" s="11" t="s">
        <v>17</v>
      </c>
      <c r="B2" s="12" t="s">
        <v>18</v>
      </c>
    </row>
    <row r="3" spans="1:5" ht="14.25" x14ac:dyDescent="0.2">
      <c r="A3" s="13" t="s">
        <v>23</v>
      </c>
      <c r="B3" s="23">
        <v>216990</v>
      </c>
    </row>
    <row r="4" spans="1:5" ht="14.25" x14ac:dyDescent="0.2">
      <c r="A4" s="13" t="s">
        <v>21</v>
      </c>
      <c r="B4" s="23">
        <v>240000</v>
      </c>
    </row>
    <row r="5" spans="1:5" ht="15" x14ac:dyDescent="0.25">
      <c r="A5" s="15" t="s">
        <v>24</v>
      </c>
      <c r="B5" s="24">
        <f>SUM(B3:B4)</f>
        <v>456990</v>
      </c>
    </row>
    <row r="6" spans="1:5" ht="15" x14ac:dyDescent="0.25">
      <c r="A6" s="13" t="s">
        <v>25</v>
      </c>
      <c r="B6" s="17">
        <v>0</v>
      </c>
    </row>
    <row r="7" spans="1:5" ht="15" x14ac:dyDescent="0.25">
      <c r="A7" s="15" t="s">
        <v>26</v>
      </c>
      <c r="B7" s="24">
        <f>SUM(B6:B6)</f>
        <v>0</v>
      </c>
    </row>
    <row r="8" spans="1:5" ht="14.25" x14ac:dyDescent="0.2">
      <c r="A8" s="13" t="s">
        <v>38</v>
      </c>
      <c r="B8" s="23">
        <f>600000*12</f>
        <v>7200000</v>
      </c>
    </row>
    <row r="9" spans="1:5" ht="14.25" x14ac:dyDescent="0.2">
      <c r="A9" s="13" t="s">
        <v>39</v>
      </c>
      <c r="B9" s="23">
        <f>600000*12</f>
        <v>7200000</v>
      </c>
    </row>
    <row r="10" spans="1:5" ht="14.25" x14ac:dyDescent="0.2">
      <c r="A10" s="13" t="s">
        <v>40</v>
      </c>
      <c r="B10" s="23">
        <f>600000*12</f>
        <v>7200000</v>
      </c>
      <c r="E10" s="6"/>
    </row>
    <row r="11" spans="1:5" ht="15" x14ac:dyDescent="0.25">
      <c r="A11" s="15" t="s">
        <v>20</v>
      </c>
      <c r="B11" s="24">
        <f>SUM(B8:B10)</f>
        <v>21600000</v>
      </c>
    </row>
    <row r="12" spans="1:5" ht="14.25" x14ac:dyDescent="0.2">
      <c r="A12" s="13" t="s">
        <v>27</v>
      </c>
      <c r="B12" s="23">
        <f>120000*12</f>
        <v>1440000</v>
      </c>
    </row>
    <row r="13" spans="1:5" ht="14.25" x14ac:dyDescent="0.2">
      <c r="A13" s="13" t="s">
        <v>28</v>
      </c>
      <c r="B13" s="23">
        <v>300000</v>
      </c>
    </row>
    <row r="14" spans="1:5" ht="15" x14ac:dyDescent="0.25">
      <c r="A14" s="15" t="s">
        <v>29</v>
      </c>
      <c r="B14" s="16">
        <f>SUM(B12:B13)</f>
        <v>1740000</v>
      </c>
    </row>
    <row r="15" spans="1:5" ht="14.25" x14ac:dyDescent="0.2">
      <c r="A15" s="13" t="s">
        <v>30</v>
      </c>
      <c r="B15" s="23">
        <v>0</v>
      </c>
    </row>
    <row r="16" spans="1:5" ht="14.25" x14ac:dyDescent="0.2">
      <c r="A16" s="13" t="s">
        <v>31</v>
      </c>
      <c r="B16" s="23">
        <v>1000000</v>
      </c>
    </row>
    <row r="17" spans="1:2" ht="14.25" x14ac:dyDescent="0.2">
      <c r="A17" s="13" t="s">
        <v>32</v>
      </c>
      <c r="B17" s="23">
        <v>0</v>
      </c>
    </row>
    <row r="18" spans="1:2" ht="15" x14ac:dyDescent="0.25">
      <c r="A18" s="15" t="s">
        <v>33</v>
      </c>
      <c r="B18" s="24">
        <f>SUM(B15:B17)</f>
        <v>1000000</v>
      </c>
    </row>
    <row r="19" spans="1:2" x14ac:dyDescent="0.2">
      <c r="B19" s="25"/>
    </row>
    <row r="20" spans="1:2" ht="15" x14ac:dyDescent="0.25">
      <c r="A20" s="18" t="s">
        <v>19</v>
      </c>
      <c r="B20" s="20">
        <f>SUM(B5,B7,B11,B14,B18)</f>
        <v>24796990</v>
      </c>
    </row>
    <row r="21" spans="1:2" ht="15" x14ac:dyDescent="0.25">
      <c r="A21" s="18" t="s">
        <v>44</v>
      </c>
      <c r="B21" s="20">
        <f>1000000*12</f>
        <v>12000000</v>
      </c>
    </row>
    <row r="22" spans="1:2" x14ac:dyDescent="0.2">
      <c r="B22" s="25"/>
    </row>
    <row r="23" spans="1:2" ht="15" x14ac:dyDescent="0.25">
      <c r="A23" s="8" t="s">
        <v>22</v>
      </c>
      <c r="B23" s="26">
        <f>SUM(B21,-B20)</f>
        <v>-12796990</v>
      </c>
    </row>
  </sheetData>
  <mergeCells count="1">
    <mergeCell ref="A1:B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C08EED-230B-442C-ADC2-C1E30B382846}">
  <dimension ref="A1:B23"/>
  <sheetViews>
    <sheetView workbookViewId="0">
      <selection activeCell="B22" sqref="B22"/>
    </sheetView>
  </sheetViews>
  <sheetFormatPr baseColWidth="10" defaultRowHeight="12.75" x14ac:dyDescent="0.2"/>
  <cols>
    <col min="1" max="1" width="59.42578125" customWidth="1"/>
    <col min="2" max="2" width="14.28515625" bestFit="1" customWidth="1"/>
  </cols>
  <sheetData>
    <row r="1" spans="1:2" ht="14.25" x14ac:dyDescent="0.2">
      <c r="A1" s="21" t="s">
        <v>34</v>
      </c>
      <c r="B1" s="22"/>
    </row>
    <row r="2" spans="1:2" ht="15" x14ac:dyDescent="0.25">
      <c r="A2" s="11" t="s">
        <v>17</v>
      </c>
      <c r="B2" s="12" t="s">
        <v>18</v>
      </c>
    </row>
    <row r="3" spans="1:2" ht="14.25" x14ac:dyDescent="0.2">
      <c r="A3" s="13" t="s">
        <v>23</v>
      </c>
      <c r="B3" s="23">
        <v>216990</v>
      </c>
    </row>
    <row r="4" spans="1:2" ht="14.25" x14ac:dyDescent="0.2">
      <c r="A4" s="13" t="s">
        <v>21</v>
      </c>
      <c r="B4" s="23">
        <v>360000</v>
      </c>
    </row>
    <row r="5" spans="1:2" ht="15" x14ac:dyDescent="0.25">
      <c r="A5" s="15" t="s">
        <v>24</v>
      </c>
      <c r="B5" s="24">
        <f>SUM(B3:B4)</f>
        <v>576990</v>
      </c>
    </row>
    <row r="6" spans="1:2" ht="15" x14ac:dyDescent="0.25">
      <c r="A6" s="13" t="s">
        <v>25</v>
      </c>
      <c r="B6" s="17">
        <v>0</v>
      </c>
    </row>
    <row r="7" spans="1:2" ht="15" x14ac:dyDescent="0.25">
      <c r="A7" s="15" t="s">
        <v>26</v>
      </c>
      <c r="B7" s="24">
        <f>SUM(B6:B6)</f>
        <v>0</v>
      </c>
    </row>
    <row r="8" spans="1:2" ht="14.25" x14ac:dyDescent="0.2">
      <c r="A8" s="13" t="s">
        <v>38</v>
      </c>
      <c r="B8" s="23">
        <f>600000*12</f>
        <v>7200000</v>
      </c>
    </row>
    <row r="9" spans="1:2" ht="14.25" x14ac:dyDescent="0.2">
      <c r="A9" s="13" t="s">
        <v>39</v>
      </c>
      <c r="B9" s="23">
        <f>600000*12</f>
        <v>7200000</v>
      </c>
    </row>
    <row r="10" spans="1:2" ht="14.25" x14ac:dyDescent="0.2">
      <c r="A10" s="13" t="s">
        <v>40</v>
      </c>
      <c r="B10" s="23">
        <f>600000*12</f>
        <v>7200000</v>
      </c>
    </row>
    <row r="11" spans="1:2" ht="15" x14ac:dyDescent="0.25">
      <c r="A11" s="15" t="s">
        <v>20</v>
      </c>
      <c r="B11" s="24">
        <f>SUM(B8:B10)</f>
        <v>21600000</v>
      </c>
    </row>
    <row r="12" spans="1:2" ht="14.25" x14ac:dyDescent="0.2">
      <c r="A12" s="13" t="s">
        <v>27</v>
      </c>
      <c r="B12" s="23">
        <f>120000*12</f>
        <v>1440000</v>
      </c>
    </row>
    <row r="13" spans="1:2" ht="14.25" x14ac:dyDescent="0.2">
      <c r="A13" s="13" t="s">
        <v>28</v>
      </c>
      <c r="B13" s="23">
        <v>300000</v>
      </c>
    </row>
    <row r="14" spans="1:2" ht="15" x14ac:dyDescent="0.25">
      <c r="A14" s="15" t="s">
        <v>29</v>
      </c>
      <c r="B14" s="16">
        <f>SUM(B12:B13)</f>
        <v>1740000</v>
      </c>
    </row>
    <row r="15" spans="1:2" ht="14.25" x14ac:dyDescent="0.2">
      <c r="A15" s="13" t="s">
        <v>30</v>
      </c>
      <c r="B15" s="23">
        <v>0</v>
      </c>
    </row>
    <row r="16" spans="1:2" ht="14.25" x14ac:dyDescent="0.2">
      <c r="A16" s="13" t="s">
        <v>31</v>
      </c>
      <c r="B16" s="23">
        <v>1000000</v>
      </c>
    </row>
    <row r="17" spans="1:2" ht="14.25" x14ac:dyDescent="0.2">
      <c r="A17" s="13" t="s">
        <v>32</v>
      </c>
      <c r="B17" s="23">
        <v>0</v>
      </c>
    </row>
    <row r="18" spans="1:2" ht="15" x14ac:dyDescent="0.25">
      <c r="A18" s="15" t="s">
        <v>33</v>
      </c>
      <c r="B18" s="24">
        <f>SUM(B15:B17)</f>
        <v>1000000</v>
      </c>
    </row>
    <row r="19" spans="1:2" ht="14.25" x14ac:dyDescent="0.2">
      <c r="A19" s="13"/>
      <c r="B19" s="23"/>
    </row>
    <row r="20" spans="1:2" ht="15" x14ac:dyDescent="0.25">
      <c r="A20" s="18" t="s">
        <v>19</v>
      </c>
      <c r="B20" s="20">
        <f>SUM(B5,B11,B7,B14,B18)</f>
        <v>24916990</v>
      </c>
    </row>
    <row r="21" spans="1:2" ht="15" x14ac:dyDescent="0.25">
      <c r="A21" s="18" t="s">
        <v>46</v>
      </c>
      <c r="B21" s="20">
        <f>1000000*3*12</f>
        <v>36000000</v>
      </c>
    </row>
    <row r="22" spans="1:2" x14ac:dyDescent="0.2">
      <c r="B22" s="25"/>
    </row>
    <row r="23" spans="1:2" ht="15" x14ac:dyDescent="0.25">
      <c r="A23" s="8" t="s">
        <v>22</v>
      </c>
      <c r="B23" s="26">
        <f>SUM(B21,-B20)</f>
        <v>11083010</v>
      </c>
    </row>
  </sheetData>
  <mergeCells count="1">
    <mergeCell ref="A1:B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DED5D-9CC5-49FD-AC99-786F34A8A1A5}">
  <dimension ref="A1:B23"/>
  <sheetViews>
    <sheetView workbookViewId="0">
      <selection activeCell="B22" sqref="B22"/>
    </sheetView>
  </sheetViews>
  <sheetFormatPr baseColWidth="10" defaultRowHeight="12.75" x14ac:dyDescent="0.2"/>
  <cols>
    <col min="1" max="1" width="49.7109375" bestFit="1" customWidth="1"/>
    <col min="2" max="2" width="20.5703125" customWidth="1"/>
  </cols>
  <sheetData>
    <row r="1" spans="1:2" ht="14.25" x14ac:dyDescent="0.2">
      <c r="A1" s="21" t="s">
        <v>34</v>
      </c>
      <c r="B1" s="22"/>
    </row>
    <row r="2" spans="1:2" ht="15" x14ac:dyDescent="0.25">
      <c r="A2" s="11" t="s">
        <v>17</v>
      </c>
      <c r="B2" s="12" t="s">
        <v>18</v>
      </c>
    </row>
    <row r="3" spans="1:2" ht="14.25" x14ac:dyDescent="0.2">
      <c r="A3" s="13" t="s">
        <v>23</v>
      </c>
      <c r="B3" s="23">
        <v>216990</v>
      </c>
    </row>
    <row r="4" spans="1:2" ht="14.25" x14ac:dyDescent="0.2">
      <c r="A4" s="13" t="s">
        <v>21</v>
      </c>
      <c r="B4" s="23">
        <v>960000</v>
      </c>
    </row>
    <row r="5" spans="1:2" ht="15" x14ac:dyDescent="0.25">
      <c r="A5" s="15" t="s">
        <v>24</v>
      </c>
      <c r="B5" s="24">
        <f>SUM(B3:B4)</f>
        <v>1176990</v>
      </c>
    </row>
    <row r="6" spans="1:2" ht="15" x14ac:dyDescent="0.25">
      <c r="A6" s="13" t="s">
        <v>25</v>
      </c>
      <c r="B6" s="17">
        <v>6000000</v>
      </c>
    </row>
    <row r="7" spans="1:2" ht="15" x14ac:dyDescent="0.25">
      <c r="A7" s="15" t="s">
        <v>26</v>
      </c>
      <c r="B7" s="24">
        <f>SUM(B6:B6)</f>
        <v>6000000</v>
      </c>
    </row>
    <row r="8" spans="1:2" ht="14.25" x14ac:dyDescent="0.2">
      <c r="A8" s="13" t="s">
        <v>38</v>
      </c>
      <c r="B8" s="23">
        <f>800000*12</f>
        <v>9600000</v>
      </c>
    </row>
    <row r="9" spans="1:2" ht="14.25" x14ac:dyDescent="0.2">
      <c r="A9" s="13" t="s">
        <v>39</v>
      </c>
      <c r="B9" s="23">
        <f>800000*12</f>
        <v>9600000</v>
      </c>
    </row>
    <row r="10" spans="1:2" ht="14.25" x14ac:dyDescent="0.2">
      <c r="A10" s="13" t="s">
        <v>40</v>
      </c>
      <c r="B10" s="23">
        <f>800000*12</f>
        <v>9600000</v>
      </c>
    </row>
    <row r="11" spans="1:2" ht="15" x14ac:dyDescent="0.25">
      <c r="A11" s="15" t="s">
        <v>20</v>
      </c>
      <c r="B11" s="24">
        <f>SUM(B8:B10)</f>
        <v>28800000</v>
      </c>
    </row>
    <row r="12" spans="1:2" ht="14.25" x14ac:dyDescent="0.2">
      <c r="A12" s="13" t="s">
        <v>27</v>
      </c>
      <c r="B12" s="23">
        <f>200000*12</f>
        <v>2400000</v>
      </c>
    </row>
    <row r="13" spans="1:2" ht="14.25" x14ac:dyDescent="0.2">
      <c r="A13" s="13" t="s">
        <v>28</v>
      </c>
      <c r="B13" s="23">
        <v>300000</v>
      </c>
    </row>
    <row r="14" spans="1:2" ht="15" x14ac:dyDescent="0.25">
      <c r="A14" s="15" t="s">
        <v>29</v>
      </c>
      <c r="B14" s="16">
        <f>SUM(B12:B13)</f>
        <v>2700000</v>
      </c>
    </row>
    <row r="15" spans="1:2" ht="14.25" x14ac:dyDescent="0.2">
      <c r="A15" s="13" t="s">
        <v>30</v>
      </c>
      <c r="B15" s="23">
        <v>400000</v>
      </c>
    </row>
    <row r="16" spans="1:2" ht="14.25" x14ac:dyDescent="0.2">
      <c r="A16" s="13" t="s">
        <v>31</v>
      </c>
      <c r="B16" s="23">
        <v>4000000</v>
      </c>
    </row>
    <row r="17" spans="1:2" ht="14.25" x14ac:dyDescent="0.2">
      <c r="A17" s="13" t="s">
        <v>32</v>
      </c>
      <c r="B17" s="23">
        <v>2000000</v>
      </c>
    </row>
    <row r="18" spans="1:2" ht="15" x14ac:dyDescent="0.25">
      <c r="A18" s="15" t="s">
        <v>33</v>
      </c>
      <c r="B18" s="24">
        <f>SUM(B15:B17)</f>
        <v>6400000</v>
      </c>
    </row>
    <row r="19" spans="1:2" ht="14.25" x14ac:dyDescent="0.2">
      <c r="A19" s="13"/>
      <c r="B19" s="23"/>
    </row>
    <row r="20" spans="1:2" ht="15" x14ac:dyDescent="0.25">
      <c r="A20" s="18" t="s">
        <v>19</v>
      </c>
      <c r="B20" s="20">
        <f>SUM(B5,B11,B7,B14,B18)</f>
        <v>45076990</v>
      </c>
    </row>
    <row r="21" spans="1:2" ht="15" x14ac:dyDescent="0.25">
      <c r="A21" s="18" t="s">
        <v>47</v>
      </c>
      <c r="B21" s="20">
        <f>1000000*5*12</f>
        <v>60000000</v>
      </c>
    </row>
    <row r="22" spans="1:2" x14ac:dyDescent="0.2">
      <c r="B22" s="25"/>
    </row>
    <row r="23" spans="1:2" ht="15" x14ac:dyDescent="0.25">
      <c r="A23" s="8" t="s">
        <v>22</v>
      </c>
      <c r="B23" s="26">
        <f>SUM(B21,-B20)</f>
        <v>14923010</v>
      </c>
    </row>
  </sheetData>
  <mergeCells count="1"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B39DB6-F635-464D-B83C-04029F61550B}">
  <dimension ref="A1:B24"/>
  <sheetViews>
    <sheetView workbookViewId="0">
      <selection activeCell="B23" sqref="B23"/>
    </sheetView>
  </sheetViews>
  <sheetFormatPr baseColWidth="10" defaultRowHeight="12.75" x14ac:dyDescent="0.2"/>
  <cols>
    <col min="1" max="1" width="49.7109375" bestFit="1" customWidth="1"/>
    <col min="2" max="2" width="14.7109375" bestFit="1" customWidth="1"/>
  </cols>
  <sheetData>
    <row r="1" spans="1:2" ht="14.25" x14ac:dyDescent="0.2">
      <c r="A1" s="21" t="s">
        <v>34</v>
      </c>
      <c r="B1" s="22"/>
    </row>
    <row r="2" spans="1:2" ht="15" x14ac:dyDescent="0.25">
      <c r="A2" s="11" t="s">
        <v>17</v>
      </c>
      <c r="B2" s="12" t="s">
        <v>18</v>
      </c>
    </row>
    <row r="3" spans="1:2" ht="14.25" x14ac:dyDescent="0.2">
      <c r="A3" s="13" t="s">
        <v>23</v>
      </c>
      <c r="B3" s="23">
        <v>216990</v>
      </c>
    </row>
    <row r="4" spans="1:2" ht="14.25" x14ac:dyDescent="0.2">
      <c r="A4" s="13" t="s">
        <v>21</v>
      </c>
      <c r="B4" s="23">
        <v>1440000</v>
      </c>
    </row>
    <row r="5" spans="1:2" ht="15" x14ac:dyDescent="0.25">
      <c r="A5" s="15" t="s">
        <v>24</v>
      </c>
      <c r="B5" s="24">
        <f>SUM(B3:B4)</f>
        <v>1656990</v>
      </c>
    </row>
    <row r="6" spans="1:2" ht="15" x14ac:dyDescent="0.25">
      <c r="A6" s="13" t="s">
        <v>25</v>
      </c>
      <c r="B6" s="17">
        <v>1200000</v>
      </c>
    </row>
    <row r="7" spans="1:2" ht="15" x14ac:dyDescent="0.25">
      <c r="A7" s="15" t="s">
        <v>26</v>
      </c>
      <c r="B7" s="24">
        <f>SUM(B6:B6)</f>
        <v>1200000</v>
      </c>
    </row>
    <row r="8" spans="1:2" ht="14.25" x14ac:dyDescent="0.2">
      <c r="A8" s="13" t="s">
        <v>38</v>
      </c>
      <c r="B8" s="23">
        <f>1200000*12</f>
        <v>14400000</v>
      </c>
    </row>
    <row r="9" spans="1:2" ht="14.25" x14ac:dyDescent="0.2">
      <c r="A9" s="13" t="s">
        <v>39</v>
      </c>
      <c r="B9" s="23">
        <f>1200000*12</f>
        <v>14400000</v>
      </c>
    </row>
    <row r="10" spans="1:2" ht="14.25" x14ac:dyDescent="0.2">
      <c r="A10" s="13" t="s">
        <v>40</v>
      </c>
      <c r="B10" s="23">
        <f>1200000*12</f>
        <v>14400000</v>
      </c>
    </row>
    <row r="11" spans="1:2" ht="14.25" x14ac:dyDescent="0.2">
      <c r="A11" s="13" t="s">
        <v>35</v>
      </c>
      <c r="B11" s="23">
        <f>1000000*12</f>
        <v>12000000</v>
      </c>
    </row>
    <row r="12" spans="1:2" ht="15" x14ac:dyDescent="0.25">
      <c r="A12" s="15" t="s">
        <v>20</v>
      </c>
      <c r="B12" s="24">
        <f>SUM(B8:B11)</f>
        <v>55200000</v>
      </c>
    </row>
    <row r="13" spans="1:2" ht="14.25" x14ac:dyDescent="0.2">
      <c r="A13" s="13" t="s">
        <v>27</v>
      </c>
      <c r="B13" s="23">
        <f>200000*12</f>
        <v>2400000</v>
      </c>
    </row>
    <row r="14" spans="1:2" ht="14.25" x14ac:dyDescent="0.2">
      <c r="A14" s="13" t="s">
        <v>28</v>
      </c>
      <c r="B14" s="23">
        <v>300000</v>
      </c>
    </row>
    <row r="15" spans="1:2" ht="15" x14ac:dyDescent="0.25">
      <c r="A15" s="15" t="s">
        <v>29</v>
      </c>
      <c r="B15" s="16">
        <f>SUM(B13:B14)</f>
        <v>2700000</v>
      </c>
    </row>
    <row r="16" spans="1:2" ht="14.25" x14ac:dyDescent="0.2">
      <c r="A16" s="13" t="s">
        <v>30</v>
      </c>
      <c r="B16" s="23">
        <v>400000</v>
      </c>
    </row>
    <row r="17" spans="1:2" ht="14.25" x14ac:dyDescent="0.2">
      <c r="A17" s="13" t="s">
        <v>31</v>
      </c>
      <c r="B17" s="23">
        <v>4000000</v>
      </c>
    </row>
    <row r="18" spans="1:2" ht="14.25" x14ac:dyDescent="0.2">
      <c r="A18" s="13" t="s">
        <v>32</v>
      </c>
      <c r="B18" s="23">
        <v>2000000</v>
      </c>
    </row>
    <row r="19" spans="1:2" ht="15" x14ac:dyDescent="0.25">
      <c r="A19" s="15" t="s">
        <v>33</v>
      </c>
      <c r="B19" s="24">
        <f>SUM(B16:B18)</f>
        <v>6400000</v>
      </c>
    </row>
    <row r="20" spans="1:2" ht="14.25" x14ac:dyDescent="0.2">
      <c r="A20" s="13"/>
      <c r="B20" s="23"/>
    </row>
    <row r="21" spans="1:2" ht="15" x14ac:dyDescent="0.25">
      <c r="A21" s="18" t="s">
        <v>19</v>
      </c>
      <c r="B21" s="20">
        <f>SUM(B5,B12,B7,B15,B19)</f>
        <v>67156990</v>
      </c>
    </row>
    <row r="22" spans="1:2" ht="15" x14ac:dyDescent="0.25">
      <c r="A22" s="18" t="s">
        <v>48</v>
      </c>
      <c r="B22" s="20">
        <f>1000000*9*12</f>
        <v>108000000</v>
      </c>
    </row>
    <row r="23" spans="1:2" x14ac:dyDescent="0.2">
      <c r="B23" s="25"/>
    </row>
    <row r="24" spans="1:2" ht="15" x14ac:dyDescent="0.25">
      <c r="A24" s="8" t="s">
        <v>22</v>
      </c>
      <c r="B24" s="26">
        <f>SUM(B22,-B21)</f>
        <v>40843010</v>
      </c>
    </row>
  </sheetData>
  <mergeCells count="1">
    <mergeCell ref="A1:B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0CA64-E7ED-441F-88F0-5A3C981A9A7C}">
  <dimension ref="A1:B25"/>
  <sheetViews>
    <sheetView workbookViewId="0">
      <selection activeCell="B24" sqref="B24"/>
    </sheetView>
  </sheetViews>
  <sheetFormatPr baseColWidth="10" defaultRowHeight="12.75" x14ac:dyDescent="0.2"/>
  <cols>
    <col min="1" max="1" width="50.140625" customWidth="1"/>
    <col min="2" max="2" width="22.85546875" customWidth="1"/>
  </cols>
  <sheetData>
    <row r="1" spans="1:2" ht="14.25" x14ac:dyDescent="0.2">
      <c r="A1" s="21" t="s">
        <v>34</v>
      </c>
      <c r="B1" s="22"/>
    </row>
    <row r="2" spans="1:2" ht="15" x14ac:dyDescent="0.25">
      <c r="A2" s="11" t="s">
        <v>17</v>
      </c>
      <c r="B2" s="12" t="s">
        <v>18</v>
      </c>
    </row>
    <row r="3" spans="1:2" ht="14.25" x14ac:dyDescent="0.2">
      <c r="A3" s="13" t="s">
        <v>23</v>
      </c>
      <c r="B3" s="23">
        <v>216990</v>
      </c>
    </row>
    <row r="4" spans="1:2" ht="14.25" x14ac:dyDescent="0.2">
      <c r="A4" s="13" t="s">
        <v>21</v>
      </c>
      <c r="B4" s="23">
        <v>1440000</v>
      </c>
    </row>
    <row r="5" spans="1:2" ht="15" x14ac:dyDescent="0.25">
      <c r="A5" s="15" t="s">
        <v>24</v>
      </c>
      <c r="B5" s="24">
        <f>SUM(B3:B4)</f>
        <v>1656990</v>
      </c>
    </row>
    <row r="6" spans="1:2" ht="15" x14ac:dyDescent="0.25">
      <c r="A6" s="13" t="s">
        <v>25</v>
      </c>
      <c r="B6" s="17">
        <v>2000000</v>
      </c>
    </row>
    <row r="7" spans="1:2" ht="15" x14ac:dyDescent="0.25">
      <c r="A7" s="15" t="s">
        <v>26</v>
      </c>
      <c r="B7" s="24">
        <f>SUM(B6:B6)</f>
        <v>2000000</v>
      </c>
    </row>
    <row r="8" spans="1:2" ht="14.25" x14ac:dyDescent="0.2">
      <c r="A8" s="13" t="s">
        <v>38</v>
      </c>
      <c r="B8" s="23">
        <f>1600000*12</f>
        <v>19200000</v>
      </c>
    </row>
    <row r="9" spans="1:2" ht="14.25" x14ac:dyDescent="0.2">
      <c r="A9" s="13" t="s">
        <v>39</v>
      </c>
      <c r="B9" s="23">
        <f>1600000*12</f>
        <v>19200000</v>
      </c>
    </row>
    <row r="10" spans="1:2" ht="14.25" x14ac:dyDescent="0.2">
      <c r="A10" s="13" t="s">
        <v>40</v>
      </c>
      <c r="B10" s="23">
        <f>1600000*12</f>
        <v>19200000</v>
      </c>
    </row>
    <row r="11" spans="1:2" ht="14.25" x14ac:dyDescent="0.2">
      <c r="A11" s="13" t="s">
        <v>35</v>
      </c>
      <c r="B11" s="23">
        <f>1000000*12</f>
        <v>12000000</v>
      </c>
    </row>
    <row r="12" spans="1:2" ht="14.25" x14ac:dyDescent="0.2">
      <c r="A12" s="13" t="s">
        <v>37</v>
      </c>
      <c r="B12" s="23">
        <f>1200000*12</f>
        <v>14400000</v>
      </c>
    </row>
    <row r="13" spans="1:2" ht="15" x14ac:dyDescent="0.25">
      <c r="A13" s="15" t="s">
        <v>20</v>
      </c>
      <c r="B13" s="24">
        <f>SUM(B8:B11)</f>
        <v>69600000</v>
      </c>
    </row>
    <row r="14" spans="1:2" ht="14.25" x14ac:dyDescent="0.2">
      <c r="A14" s="13" t="s">
        <v>27</v>
      </c>
      <c r="B14" s="23">
        <f>200000*12</f>
        <v>2400000</v>
      </c>
    </row>
    <row r="15" spans="1:2" ht="14.25" x14ac:dyDescent="0.2">
      <c r="A15" s="13" t="s">
        <v>28</v>
      </c>
      <c r="B15" s="23">
        <v>300000</v>
      </c>
    </row>
    <row r="16" spans="1:2" ht="15" x14ac:dyDescent="0.25">
      <c r="A16" s="15" t="s">
        <v>29</v>
      </c>
      <c r="B16" s="16">
        <f>SUM(B14:B15)</f>
        <v>2700000</v>
      </c>
    </row>
    <row r="17" spans="1:2" ht="14.25" x14ac:dyDescent="0.2">
      <c r="A17" s="13" t="s">
        <v>30</v>
      </c>
      <c r="B17" s="23">
        <v>400000</v>
      </c>
    </row>
    <row r="18" spans="1:2" ht="14.25" x14ac:dyDescent="0.2">
      <c r="A18" s="13" t="s">
        <v>31</v>
      </c>
      <c r="B18" s="23">
        <v>6000000</v>
      </c>
    </row>
    <row r="19" spans="1:2" ht="14.25" x14ac:dyDescent="0.2">
      <c r="A19" s="13" t="s">
        <v>32</v>
      </c>
      <c r="B19" s="23">
        <v>3000000</v>
      </c>
    </row>
    <row r="20" spans="1:2" ht="15" x14ac:dyDescent="0.25">
      <c r="A20" s="15" t="s">
        <v>33</v>
      </c>
      <c r="B20" s="24">
        <f>SUM(B17:B19)</f>
        <v>9400000</v>
      </c>
    </row>
    <row r="21" spans="1:2" ht="14.25" x14ac:dyDescent="0.2">
      <c r="A21" s="13"/>
      <c r="B21" s="23"/>
    </row>
    <row r="22" spans="1:2" ht="15" x14ac:dyDescent="0.25">
      <c r="A22" s="18" t="s">
        <v>19</v>
      </c>
      <c r="B22" s="20">
        <f>SUM(B5,B13,B7,B16,B20)</f>
        <v>85356990</v>
      </c>
    </row>
    <row r="23" spans="1:2" ht="15" x14ac:dyDescent="0.25">
      <c r="A23" s="18" t="s">
        <v>49</v>
      </c>
      <c r="B23" s="20">
        <f>1000000*13*12</f>
        <v>156000000</v>
      </c>
    </row>
    <row r="24" spans="1:2" x14ac:dyDescent="0.2">
      <c r="B24" s="25"/>
    </row>
    <row r="25" spans="1:2" ht="15" x14ac:dyDescent="0.25">
      <c r="A25" s="8" t="s">
        <v>22</v>
      </c>
      <c r="B25" s="26">
        <f>SUM(B23,-B22)</f>
        <v>70643010</v>
      </c>
    </row>
  </sheetData>
  <mergeCells count="1"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Flujo de Caja - Daterra (Actual</vt:lpstr>
      <vt:lpstr>Año 0</vt:lpstr>
      <vt:lpstr>Año 1</vt:lpstr>
      <vt:lpstr>Año 2</vt:lpstr>
      <vt:lpstr>Año 3</vt:lpstr>
      <vt:lpstr>Año 4</vt:lpstr>
      <vt:lpstr>Año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Giuseppe Saavedra</dc:creator>
  <cp:lastModifiedBy>GIUSEPPE MARCEL SAAVEDRA CHAVEZ</cp:lastModifiedBy>
  <dcterms:created xsi:type="dcterms:W3CDTF">2026-06-25T04:48:19Z</dcterms:created>
  <dcterms:modified xsi:type="dcterms:W3CDTF">2026-06-25T04:48:19Z</dcterms:modified>
</cp:coreProperties>
</file>